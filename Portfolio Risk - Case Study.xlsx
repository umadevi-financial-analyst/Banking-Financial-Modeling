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de\Downloads\Case Study - 2 days\"/>
    </mc:Choice>
  </mc:AlternateContent>
  <xr:revisionPtr revIDLastSave="0" documentId="13_ncr:1_{0BD1B2A0-925F-40F4-B5E8-63C7ED16BD2B}" xr6:coauthVersionLast="47" xr6:coauthVersionMax="47" xr10:uidLastSave="{00000000-0000-0000-0000-000000000000}"/>
  <bookViews>
    <workbookView xWindow="-108" yWindow="-108" windowWidth="23256" windowHeight="12456" firstSheet="2" activeTab="3" xr2:uid="{DDB8BC6E-9CFA-412F-818B-64FD39062EB7}"/>
  </bookViews>
  <sheets>
    <sheet name="Case Study" sheetId="1" state="hidden" r:id="rId1"/>
    <sheet name="Portifolio" sheetId="3" state="hidden" r:id="rId2"/>
    <sheet name="Intro" sheetId="4" r:id="rId3"/>
    <sheet name="Loan Schedules" sheetId="2" r:id="rId4"/>
    <sheet name="Investment Decisions" sheetId="5" r:id="rId5"/>
    <sheet name="Dep Schedules" sheetId="6" r:id="rId6"/>
    <sheet name="Debt Schedules" sheetId="7" r:id="rId7"/>
    <sheet name="DCF" sheetId="8" r:id="rId8"/>
  </sheets>
  <definedNames>
    <definedName name="_xlnm.Print_Area" localSheetId="3">'Loan Schedules'!$A$1:$O$67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2" l="1"/>
  <c r="B45" i="2"/>
  <c r="C54" i="8"/>
  <c r="D42" i="8"/>
  <c r="C41" i="8"/>
  <c r="C40" i="8"/>
  <c r="D40" i="8" s="1"/>
  <c r="E40" i="8" s="1"/>
  <c r="F40" i="8" s="1"/>
  <c r="G40" i="8" s="1"/>
  <c r="H40" i="8" s="1"/>
  <c r="D38" i="8"/>
  <c r="E38" i="8" s="1"/>
  <c r="F38" i="8" s="1"/>
  <c r="G38" i="8" s="1"/>
  <c r="H38" i="8" s="1"/>
  <c r="C36" i="8"/>
  <c r="D36" i="8" s="1"/>
  <c r="E36" i="8" s="1"/>
  <c r="F36" i="8" s="1"/>
  <c r="G36" i="8" s="1"/>
  <c r="H36" i="8" s="1"/>
  <c r="C35" i="8"/>
  <c r="D34" i="8"/>
  <c r="E34" i="8" s="1"/>
  <c r="F34" i="8" s="1"/>
  <c r="G34" i="8" s="1"/>
  <c r="H34" i="8" s="1"/>
  <c r="C33" i="8" a="1"/>
  <c r="C24" i="8"/>
  <c r="C23" i="8"/>
  <c r="C17" i="8"/>
  <c r="C19" i="8" s="1"/>
  <c r="F17" i="8" s="1"/>
  <c r="F17" i="7"/>
  <c r="F16" i="7"/>
  <c r="F15" i="7"/>
  <c r="F14" i="7"/>
  <c r="F13" i="7"/>
  <c r="C13" i="7"/>
  <c r="B13" i="7" a="1"/>
  <c r="C11" i="7" a="1"/>
  <c r="D47" i="6"/>
  <c r="E47" i="6" s="1"/>
  <c r="F47" i="6" s="1"/>
  <c r="G47" i="6" s="1"/>
  <c r="H47" i="6" s="1"/>
  <c r="B46" i="6" a="1"/>
  <c r="D38" i="6"/>
  <c r="E38" i="6" s="1"/>
  <c r="F38" i="6" s="1"/>
  <c r="G38" i="6" s="1"/>
  <c r="H38" i="6" s="1"/>
  <c r="C37" i="6" a="1"/>
  <c r="D30" i="6"/>
  <c r="E30" i="6" s="1"/>
  <c r="F30" i="6" s="1"/>
  <c r="G30" i="6" s="1"/>
  <c r="H30" i="6" s="1"/>
  <c r="C29" i="6" a="1"/>
  <c r="D22" i="6"/>
  <c r="E22" i="6" s="1"/>
  <c r="F22" i="6" s="1"/>
  <c r="G22" i="6" s="1"/>
  <c r="H22" i="6" s="1"/>
  <c r="C21" i="6" a="1"/>
  <c r="D13" i="6"/>
  <c r="E13" i="6" s="1"/>
  <c r="F13" i="6" s="1"/>
  <c r="G13" i="6" s="1"/>
  <c r="H13" i="6" s="1"/>
  <c r="C12" i="6" a="1"/>
  <c r="D11" i="5"/>
  <c r="C11" i="5"/>
  <c r="L10" i="5"/>
  <c r="K10" i="5"/>
  <c r="D5" i="5"/>
  <c r="C5" i="5"/>
  <c r="F57" i="2"/>
  <c r="F56" i="2"/>
  <c r="C59" i="2"/>
  <c r="C58" i="2"/>
  <c r="C41" i="2" a="1"/>
  <c r="D46" i="2" s="1"/>
  <c r="B43" i="2"/>
  <c r="B44" i="2"/>
  <c r="K24" i="2" a="1"/>
  <c r="J26" i="2"/>
  <c r="I26" i="2" a="1"/>
  <c r="I17" i="2" a="1"/>
  <c r="D45" i="2" s="1"/>
  <c r="J23" i="2"/>
  <c r="K15" i="2" a="1"/>
  <c r="J17" i="2"/>
  <c r="J14" i="2"/>
  <c r="B26" i="2" a="1"/>
  <c r="D24" i="2" a="1"/>
  <c r="C26" i="2"/>
  <c r="C23" i="2"/>
  <c r="D15" i="2" a="1"/>
  <c r="B17" i="2" a="1"/>
  <c r="C14" i="2"/>
  <c r="C17" i="2"/>
  <c r="C46" i="2" l="1"/>
  <c r="E46" i="2" s="1"/>
  <c r="C45" i="2"/>
  <c r="E45" i="2" s="1"/>
  <c r="D43" i="8"/>
  <c r="E42" i="8"/>
  <c r="C44" i="8"/>
  <c r="D41" i="8"/>
  <c r="C37" i="8"/>
  <c r="C39" i="8" s="1"/>
  <c r="C45" i="8" s="1"/>
  <c r="D35" i="8"/>
  <c r="C25" i="8"/>
  <c r="D13" i="7" a="1"/>
  <c r="E13" i="7" a="1"/>
  <c r="G13" i="7" s="1"/>
  <c r="C14" i="7" s="1"/>
  <c r="G14" i="7" s="1"/>
  <c r="C15" i="7" s="1"/>
  <c r="G15" i="7" s="1"/>
  <c r="C16" i="7" s="1"/>
  <c r="G16" i="7" s="1"/>
  <c r="C17" i="7" s="1"/>
  <c r="G17" i="7" s="1"/>
  <c r="G49" i="6"/>
  <c r="E49" i="6"/>
  <c r="C49" i="6"/>
  <c r="H48" i="6"/>
  <c r="G48" i="6"/>
  <c r="E48" i="6"/>
  <c r="C48" i="6"/>
  <c r="F48" i="6"/>
  <c r="D49" i="6"/>
  <c r="F49" i="6"/>
  <c r="C50" i="6"/>
  <c r="F50" i="6"/>
  <c r="E50" i="6"/>
  <c r="D50" i="6"/>
  <c r="D48" i="6"/>
  <c r="E40" i="6"/>
  <c r="F41" i="6"/>
  <c r="D41" i="6"/>
  <c r="C41" i="6"/>
  <c r="G40" i="6"/>
  <c r="E41" i="6"/>
  <c r="F40" i="6"/>
  <c r="D40" i="6"/>
  <c r="C40" i="6"/>
  <c r="I40" i="6" s="1"/>
  <c r="C39" i="6" a="1"/>
  <c r="I39" i="6" s="1"/>
  <c r="E33" i="6"/>
  <c r="C33" i="6"/>
  <c r="F33" i="6"/>
  <c r="F32" i="6"/>
  <c r="D32" i="6"/>
  <c r="D33" i="6"/>
  <c r="G32" i="6"/>
  <c r="E32" i="6"/>
  <c r="C32" i="6"/>
  <c r="I32" i="6" s="1"/>
  <c r="C31" i="6" a="1"/>
  <c r="I31" i="6" s="1"/>
  <c r="D24" i="6"/>
  <c r="C23" i="6" a="1"/>
  <c r="I23" i="6" s="1"/>
  <c r="C24" i="6"/>
  <c r="E24" i="6"/>
  <c r="D25" i="6"/>
  <c r="F25" i="6"/>
  <c r="E25" i="6"/>
  <c r="C25" i="6"/>
  <c r="I25" i="6" s="1"/>
  <c r="G24" i="6"/>
  <c r="F24" i="6"/>
  <c r="F16" i="6"/>
  <c r="D15" i="6"/>
  <c r="C14" i="6" a="1"/>
  <c r="I14" i="6" s="1"/>
  <c r="F15" i="6"/>
  <c r="G15" i="6"/>
  <c r="D16" i="6"/>
  <c r="E16" i="6"/>
  <c r="C16" i="6"/>
  <c r="I16" i="6" s="1"/>
  <c r="E15" i="6"/>
  <c r="C15" i="6"/>
  <c r="I15" i="6" s="1"/>
  <c r="L9" i="5"/>
  <c r="L8" i="5"/>
  <c r="L7" i="5"/>
  <c r="L6" i="5"/>
  <c r="L5" i="5"/>
  <c r="K9" i="5"/>
  <c r="K8" i="5"/>
  <c r="K7" i="5"/>
  <c r="K6" i="5"/>
  <c r="K5" i="5"/>
  <c r="M35" i="2"/>
  <c r="M34" i="2"/>
  <c r="M33" i="2"/>
  <c r="M32" i="2"/>
  <c r="M31" i="2"/>
  <c r="M30" i="2"/>
  <c r="M29" i="2"/>
  <c r="M28" i="2"/>
  <c r="M27" i="2"/>
  <c r="M26" i="2"/>
  <c r="M19" i="2"/>
  <c r="M18" i="2"/>
  <c r="M20" i="2"/>
  <c r="M17" i="2"/>
  <c r="D44" i="2"/>
  <c r="C44" i="2"/>
  <c r="F31" i="2"/>
  <c r="F32" i="2"/>
  <c r="F30" i="2"/>
  <c r="F29" i="2"/>
  <c r="F28" i="2"/>
  <c r="F27" i="2"/>
  <c r="F26" i="2"/>
  <c r="F19" i="2"/>
  <c r="F20" i="2"/>
  <c r="F18" i="2"/>
  <c r="F17" i="2"/>
  <c r="F21" i="2"/>
  <c r="D43" i="2"/>
  <c r="C43" i="2"/>
  <c r="E43" i="2" s="1"/>
  <c r="K26" i="2" a="1"/>
  <c r="K36" i="2" s="1"/>
  <c r="L26" i="2" a="1"/>
  <c r="D26" i="2" a="1"/>
  <c r="D33" i="2" s="1"/>
  <c r="E26" i="2" a="1"/>
  <c r="E17" i="2" a="1"/>
  <c r="D17" i="2" a="1"/>
  <c r="F60" i="2" s="1"/>
  <c r="L17" i="2" a="1"/>
  <c r="K17" i="2" a="1"/>
  <c r="K21" i="2" s="1"/>
  <c r="F42" i="8" l="1"/>
  <c r="E43" i="8"/>
  <c r="E41" i="8"/>
  <c r="D44" i="8"/>
  <c r="E35" i="8"/>
  <c r="D37" i="8"/>
  <c r="D39" i="8" s="1"/>
  <c r="D45" i="8" s="1"/>
  <c r="C28" i="8"/>
  <c r="F18" i="8" s="1"/>
  <c r="C27" i="8"/>
  <c r="F16" i="8" s="1"/>
  <c r="F20" i="8" s="1"/>
  <c r="I49" i="6"/>
  <c r="I48" i="6"/>
  <c r="I50" i="6"/>
  <c r="I41" i="6"/>
  <c r="I33" i="6"/>
  <c r="I24" i="6"/>
  <c r="E44" i="2"/>
  <c r="F59" i="2"/>
  <c r="D22" i="2"/>
  <c r="N26" i="2"/>
  <c r="J27" i="2" s="1"/>
  <c r="N27" i="2" s="1"/>
  <c r="J28" i="2" s="1"/>
  <c r="N28" i="2" s="1"/>
  <c r="J29" i="2" s="1"/>
  <c r="N29" i="2" s="1"/>
  <c r="J30" i="2" s="1"/>
  <c r="N30" i="2" s="1"/>
  <c r="J31" i="2" s="1"/>
  <c r="N31" i="2" s="1"/>
  <c r="J32" i="2" s="1"/>
  <c r="N32" i="2" s="1"/>
  <c r="J33" i="2" s="1"/>
  <c r="N33" i="2" s="1"/>
  <c r="J34" i="2" s="1"/>
  <c r="N34" i="2" s="1"/>
  <c r="J35" i="2" s="1"/>
  <c r="N35" i="2" s="1"/>
  <c r="N17" i="2"/>
  <c r="J18" i="2" s="1"/>
  <c r="N18" i="2" s="1"/>
  <c r="J19" i="2" s="1"/>
  <c r="N19" i="2" s="1"/>
  <c r="J20" i="2" s="1"/>
  <c r="N20" i="2" s="1"/>
  <c r="G26" i="2"/>
  <c r="C27" i="2" s="1"/>
  <c r="G27" i="2" s="1"/>
  <c r="C28" i="2" s="1"/>
  <c r="G28" i="2" s="1"/>
  <c r="C29" i="2" s="1"/>
  <c r="G29" i="2" s="1"/>
  <c r="C30" i="2" s="1"/>
  <c r="G30" i="2" s="1"/>
  <c r="C31" i="2" s="1"/>
  <c r="G31" i="2" s="1"/>
  <c r="C32" i="2" s="1"/>
  <c r="G32" i="2" s="1"/>
  <c r="G17" i="2"/>
  <c r="C18" i="2" s="1"/>
  <c r="G18" i="2" s="1"/>
  <c r="F58" i="2" s="1"/>
  <c r="F43" i="8" l="1"/>
  <c r="G42" i="8"/>
  <c r="F41" i="8"/>
  <c r="E44" i="8"/>
  <c r="F35" i="8"/>
  <c r="E37" i="8"/>
  <c r="E39" i="8" s="1"/>
  <c r="E45" i="8" s="1"/>
  <c r="C53" i="8"/>
  <c r="C46" i="8"/>
  <c r="C47" i="8" s="1" a="1"/>
  <c r="C19" i="2"/>
  <c r="G19" i="2" s="1"/>
  <c r="C20" i="2" s="1"/>
  <c r="G20" i="2" s="1"/>
  <c r="C21" i="2" s="1"/>
  <c r="G21" i="2" s="1"/>
  <c r="F61" i="2"/>
  <c r="F62" i="2" s="1"/>
  <c r="G43" i="8" l="1"/>
  <c r="H42" i="8"/>
  <c r="H43" i="8" s="1"/>
  <c r="G41" i="8"/>
  <c r="F44" i="8"/>
  <c r="G35" i="8"/>
  <c r="F37" i="8"/>
  <c r="F39" i="8" s="1"/>
  <c r="F45" i="8" s="1"/>
  <c r="F52" i="8"/>
  <c r="C52" i="8"/>
  <c r="C55" i="8" s="1"/>
  <c r="C57" i="8" s="1"/>
  <c r="F53" i="8" s="1"/>
  <c r="H41" i="8" l="1"/>
  <c r="H44" i="8" s="1"/>
  <c r="G44" i="8"/>
  <c r="H35" i="8"/>
  <c r="H37" i="8" s="1"/>
  <c r="H39" i="8" s="1"/>
  <c r="H45" i="8" s="1"/>
  <c r="G37" i="8"/>
  <c r="G39" i="8" s="1"/>
  <c r="F55" i="8"/>
  <c r="F58" i="8" s="1"/>
  <c r="F61" i="8" s="1"/>
  <c r="C68" i="8" s="1"/>
  <c r="G45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<sst xmlns="http://schemas.openxmlformats.org/spreadsheetml/2006/main" count="305" uniqueCount="229">
  <si>
    <t>CASE STUDY</t>
  </si>
  <si>
    <t>🏦 ABC Global Bank</t>
  </si>
  <si>
    <t>Reducing Loan Portfolio Risk &amp; Improving Profitability</t>
  </si>
  <si>
    <r>
      <t>Role:</t>
    </r>
    <r>
      <rPr>
        <sz val="11"/>
        <color theme="1"/>
        <rFont val="Calibri"/>
        <family val="2"/>
        <scheme val="minor"/>
      </rPr>
      <t xml:space="preserve"> Financial Analyst</t>
    </r>
  </si>
  <si>
    <r>
      <t>Department:</t>
    </r>
    <r>
      <rPr>
        <sz val="11"/>
        <color theme="1"/>
        <rFont val="Calibri"/>
        <family val="2"/>
        <scheme val="minor"/>
      </rPr>
      <t xml:space="preserve"> Credit Risk &amp; Financial Planning</t>
    </r>
  </si>
  <si>
    <r>
      <t>Time:</t>
    </r>
    <r>
      <rPr>
        <sz val="11"/>
        <color theme="1"/>
        <rFont val="Calibri"/>
        <family val="2"/>
        <scheme val="minor"/>
      </rPr>
      <t xml:space="preserve"> FY2026</t>
    </r>
  </si>
  <si>
    <t>🎬 Story</t>
  </si>
  <si>
    <t>ABC Global Bank sanctioned thousands of loans.</t>
  </si>
  <si>
    <t>After 2 years, management noticed:</t>
  </si>
  <si>
    <t>❌ Interest income is falling.</t>
  </si>
  <si>
    <t>❌ Some customers are closing loans early.</t>
  </si>
  <si>
    <t>❌ Some loans are becoming risky.</t>
  </si>
  <si>
    <t>❌ Profitability is reducing.</t>
  </si>
  <si>
    <t>CEO calls you...</t>
  </si>
  <si>
    <t>"Uma, tell me which loans are profitable, which are risky, and what decision we should take."</t>
  </si>
  <si>
    <t>Now you're the Financial Analyst.</t>
  </si>
  <si>
    <t>Business Question</t>
  </si>
  <si>
    <t>Why Important</t>
  </si>
  <si>
    <t>Which customers repay early?</t>
  </si>
  <si>
    <t>Interest loss</t>
  </si>
  <si>
    <t>Which loans generate maximum interest?</t>
  </si>
  <si>
    <t>Revenue</t>
  </si>
  <si>
    <t>What is total interest earned?</t>
  </si>
  <si>
    <t>Profit</t>
  </si>
  <si>
    <t>Which loans should be refinanced?</t>
  </si>
  <si>
    <t>Customer retention</t>
  </si>
  <si>
    <t>Which loans have highest NPV?</t>
  </si>
  <si>
    <t>Investment decision</t>
  </si>
  <si>
    <t>Which branch performs best?</t>
  </si>
  <si>
    <t>Expansion</t>
  </si>
  <si>
    <t>Which assets depreciate most?</t>
  </si>
  <si>
    <t>Budget Planning</t>
  </si>
  <si>
    <t>Is new lending profitable?</t>
  </si>
  <si>
    <t>DCF</t>
  </si>
  <si>
    <t>Loan ID</t>
  </si>
  <si>
    <t>Customer</t>
  </si>
  <si>
    <t>Branch</t>
  </si>
  <si>
    <t>Loan Amount</t>
  </si>
  <si>
    <t>Interest</t>
  </si>
  <si>
    <t>Tenure</t>
  </si>
  <si>
    <t>Start Date</t>
  </si>
  <si>
    <t>L001</t>
  </si>
  <si>
    <t>Arjun</t>
  </si>
  <si>
    <t>Hyderabad</t>
  </si>
  <si>
    <t>L002</t>
  </si>
  <si>
    <t>Priya</t>
  </si>
  <si>
    <t>Bangalore</t>
  </si>
  <si>
    <t>L003</t>
  </si>
  <si>
    <t>Ravi</t>
  </si>
  <si>
    <t>Chennai</t>
  </si>
  <si>
    <t>L004</t>
  </si>
  <si>
    <t>Meera</t>
  </si>
  <si>
    <t>Pune</t>
  </si>
  <si>
    <t>DATA SET</t>
  </si>
  <si>
    <t>Year</t>
  </si>
  <si>
    <t>Opening Loan</t>
  </si>
  <si>
    <t>Interest (IPMT)</t>
  </si>
  <si>
    <t>Principal (PPMT)</t>
  </si>
  <si>
    <t>EMI (PMT)</t>
  </si>
  <si>
    <t>Closing Loan</t>
  </si>
  <si>
    <t>Customer Name</t>
  </si>
  <si>
    <t xml:space="preserve">LOAN </t>
  </si>
  <si>
    <t>#</t>
  </si>
  <si>
    <t>Cumulative Interest</t>
  </si>
  <si>
    <t>Cumulative Principal</t>
  </si>
  <si>
    <t>Total Cumulative Repayment</t>
  </si>
  <si>
    <t>How much loan is still outstanding?</t>
  </si>
  <si>
    <t>How much interest will the bank lose?</t>
  </si>
  <si>
    <t>How much cash should the customer pay today?</t>
  </si>
  <si>
    <t>Should the bank charge a foreclosure fee?</t>
  </si>
  <si>
    <t>Item</t>
  </si>
  <si>
    <t>Interest Rate</t>
  </si>
  <si>
    <t>Foreclosure Charge</t>
  </si>
  <si>
    <t>Formula</t>
  </si>
  <si>
    <t>Purpose</t>
  </si>
  <si>
    <t>Outstanding Loan</t>
  </si>
  <si>
    <t>Amount still owed</t>
  </si>
  <si>
    <t>Remaining Years</t>
  </si>
  <si>
    <t>Original Tenure − Closure Year</t>
  </si>
  <si>
    <t>Loan left</t>
  </si>
  <si>
    <t>Remaining Interest</t>
  </si>
  <si>
    <t>Total Future IPMT</t>
  </si>
  <si>
    <t>Bank's lost income</t>
  </si>
  <si>
    <t>Foreclosure Fee</t>
  </si>
  <si>
    <t>Outstanding × 2%</t>
  </si>
  <si>
    <t>Bank charge</t>
  </si>
  <si>
    <t>Final Settlement</t>
  </si>
  <si>
    <t>Outstanding + Fee</t>
  </si>
  <si>
    <t>Amount customer pays</t>
  </si>
  <si>
    <t>Create Assumptions</t>
  </si>
  <si>
    <t xml:space="preserve">Lookup Closing Balance </t>
  </si>
  <si>
    <t>Input</t>
  </si>
  <si>
    <t>Value</t>
  </si>
  <si>
    <t>Arjun Kumar</t>
  </si>
  <si>
    <t>Original Loan Amount</t>
  </si>
  <si>
    <t>Original Loan Tenure</t>
  </si>
  <si>
    <t>Loan Closed After</t>
  </si>
  <si>
    <t>KPI</t>
  </si>
  <si>
    <t>Original Loan</t>
  </si>
  <si>
    <t>Total Interest Earned</t>
  </si>
  <si>
    <t>Interest Lost</t>
  </si>
  <si>
    <t>Net Loss to Bank</t>
  </si>
  <si>
    <t>Analysis</t>
  </si>
  <si>
    <t>Project A</t>
  </si>
  <si>
    <t>Project B</t>
  </si>
  <si>
    <t>Present Value (PV)</t>
  </si>
  <si>
    <t>Future Value (FV)</t>
  </si>
  <si>
    <t>Net Present Value (NPV)</t>
  </si>
  <si>
    <t>Internal Rate of Return (IRR)</t>
  </si>
  <si>
    <t>Modified IRR (MIRR)</t>
  </si>
  <si>
    <t>Required Rate of Return (RRI)</t>
  </si>
  <si>
    <t>Reinvestment Rate</t>
  </si>
  <si>
    <t>Initial Investment</t>
  </si>
  <si>
    <t>Discount Rate (WACC)</t>
  </si>
  <si>
    <t>Depreciation Schedule</t>
  </si>
  <si>
    <t>Asset</t>
  </si>
  <si>
    <t>Cost</t>
  </si>
  <si>
    <t>Life</t>
  </si>
  <si>
    <t>Salvage</t>
  </si>
  <si>
    <t>ATM</t>
  </si>
  <si>
    <t>Server</t>
  </si>
  <si>
    <t>Laptop</t>
  </si>
  <si>
    <r>
      <t>Conclusion: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Project A</t>
    </r>
    <r>
      <rPr>
        <sz val="11"/>
        <color theme="1"/>
        <rFont val="Calibri"/>
        <family val="2"/>
        <scheme val="minor"/>
      </rPr>
      <t xml:space="preserve"> is recommended over Project B as it demonstrates superior performance across key capital budgeting metrics such as </t>
    </r>
    <r>
      <rPr>
        <b/>
        <sz val="11"/>
        <color theme="1"/>
        <rFont val="Calibri"/>
        <family val="2"/>
        <scheme val="minor"/>
      </rPr>
      <t>NPV, IRR, MIRR, and RRI</t>
    </r>
    <r>
      <rPr>
        <sz val="11"/>
        <color theme="1"/>
        <rFont val="Calibri"/>
        <family val="2"/>
        <scheme val="minor"/>
      </rPr>
      <t>, indicating stronger profitability and investment potential.</t>
    </r>
  </si>
  <si>
    <t>PARTICULARS</t>
  </si>
  <si>
    <t>Fixed Declining</t>
  </si>
  <si>
    <t>Straight Line Depreciation:</t>
  </si>
  <si>
    <t>Double Declining Depreciation:</t>
  </si>
  <si>
    <t>Sun of the year digits</t>
  </si>
  <si>
    <t>Variable Declining Depreication</t>
  </si>
  <si>
    <t>ABC Global Bank – Loan Portfolio &amp; Investment Decision Analysis using Advanced Excel</t>
  </si>
  <si>
    <t>Project Title:</t>
  </si>
  <si>
    <t>Project Overview:</t>
  </si>
  <si>
    <r>
      <t>Developed an end-to-end banking case study to analyze loan repayments, early loan closures,</t>
    </r>
    <r>
      <rPr>
        <b/>
        <sz val="11"/>
        <color theme="1"/>
        <rFont val="Calibri"/>
        <family val="2"/>
        <scheme val="minor"/>
      </rPr>
      <t xml:space="preserve"> investment decisions</t>
    </r>
    <r>
      <rPr>
        <sz val="11"/>
        <color theme="1"/>
        <rFont val="Calibri"/>
        <family val="2"/>
        <scheme val="minor"/>
      </rPr>
      <t>, asset depreciation, debt schedules, and company valuation using</t>
    </r>
    <r>
      <rPr>
        <b/>
        <sz val="11"/>
        <color theme="1"/>
        <rFont val="Calibri"/>
        <family val="2"/>
        <scheme val="minor"/>
      </rPr>
      <t xml:space="preserve"> Advanced Excel</t>
    </r>
    <r>
      <rPr>
        <sz val="11"/>
        <color theme="1"/>
        <rFont val="Calibri"/>
        <family val="2"/>
        <scheme val="minor"/>
      </rPr>
      <t>. The project simulates real-world financial analysis performed in Financial Services Companies by converting financial data into business insights and recommendations.</t>
    </r>
  </si>
  <si>
    <t>Project Deliverables:</t>
  </si>
  <si>
    <t>Module</t>
  </si>
  <si>
    <t>Business Deliverable</t>
  </si>
  <si>
    <t>Loan Repayment Schedule</t>
  </si>
  <si>
    <t>Built a dynamic loan amortization model using PMT, IPMT, PPMT, CUMIPMT, and CUMPRINC to calculate EMI, interest, principal repayment, and outstanding balance.</t>
  </si>
  <si>
    <t>Early Loan Closure Analysis</t>
  </si>
  <si>
    <t>Evaluated the financial impact of customers closing loans before maturity by estimating outstanding principal, interest income lost, foreclosure charges, and net profitability impact.</t>
  </si>
  <si>
    <t>Investment Decision Analysis</t>
  </si>
  <si>
    <t>Compared two lending opportunities using PV, FV, NPV, XNPV, IRR, XIRR, MIRR, and RRI to recommend the project creating the highest value.</t>
  </si>
  <si>
    <t>Compared Straight-Line, Declining Balance, Double Declining Balance, Sum-of-the-Years'-Digits, and Variable Declining Balance methods across multiple banking assets.</t>
  </si>
  <si>
    <t>Developing a dynamic debt repayment model to forecast interest expense, principal repayment, and outstanding liabilities.</t>
  </si>
  <si>
    <t>Estimating weighted average cost of capital using capital structure, cost of debt, cost of equity, and tax impact.</t>
  </si>
  <si>
    <t>Forecasting free cash flows, discounting future cash flows, estimating terminal value, enterprise value, and investment recommendation.</t>
  </si>
  <si>
    <t>Debt Schedule (In Progress)</t>
  </si>
  <si>
    <t>WACC Calculation (Planned)</t>
  </si>
  <si>
    <t>Mini DCF Valuation (Planned)</t>
  </si>
  <si>
    <t>FACTOR</t>
  </si>
  <si>
    <t>Loan Term</t>
  </si>
  <si>
    <t>Repayment Type</t>
  </si>
  <si>
    <t>Equal Annual Payments</t>
  </si>
  <si>
    <t>Value (cr)</t>
  </si>
  <si>
    <t>Opening Debt</t>
  </si>
  <si>
    <t>Interest Expense</t>
  </si>
  <si>
    <t>Principal Repaid</t>
  </si>
  <si>
    <t>Total Payment</t>
  </si>
  <si>
    <t>Closing Debt</t>
  </si>
  <si>
    <t>Debt Schedule: Bank Debt</t>
  </si>
  <si>
    <t>Market Value of Debt</t>
  </si>
  <si>
    <t>Market Value of Equity</t>
  </si>
  <si>
    <t>Cost of Debt</t>
  </si>
  <si>
    <t>Cost of Equity</t>
  </si>
  <si>
    <t>Corporate Tax Rate</t>
  </si>
  <si>
    <t>WACC &amp; DCF</t>
  </si>
  <si>
    <t>Cost of Capital</t>
  </si>
  <si>
    <t>Pre Tax</t>
  </si>
  <si>
    <t>Tax Rate</t>
  </si>
  <si>
    <t>Post Tax Debt</t>
  </si>
  <si>
    <t>Capital Structure:</t>
  </si>
  <si>
    <t>Debt</t>
  </si>
  <si>
    <t>Equity</t>
  </si>
  <si>
    <t>Total</t>
  </si>
  <si>
    <t>Weight of Debt</t>
  </si>
  <si>
    <t>Weight of Equity</t>
  </si>
  <si>
    <t>WACC</t>
  </si>
  <si>
    <r>
      <t xml:space="preserve"> WACC represents the minimum return required by investors and lenders. Any</t>
    </r>
    <r>
      <rPr>
        <b/>
        <i/>
        <sz val="11"/>
        <color theme="1"/>
        <rFont val="Calibri"/>
        <family val="2"/>
        <scheme val="minor"/>
      </rPr>
      <t xml:space="preserve"> investment project with a return higher than the WACC</t>
    </r>
    <r>
      <rPr>
        <sz val="11"/>
        <color theme="1"/>
        <rFont val="Calibri"/>
        <family val="2"/>
        <scheme val="minor"/>
      </rPr>
      <t xml:space="preserve"> is expected to create value for the bank. This WACC will be used as the discount rate in the DCF valuation model.</t>
    </r>
  </si>
  <si>
    <t>Operating Cost</t>
  </si>
  <si>
    <t>EBIT</t>
  </si>
  <si>
    <t>Tax</t>
  </si>
  <si>
    <t>Capex</t>
  </si>
  <si>
    <t>Working Capital</t>
  </si>
  <si>
    <t>FCFF</t>
  </si>
  <si>
    <t>Revene</t>
  </si>
  <si>
    <t>Dep</t>
  </si>
  <si>
    <t>NOPAT (EBIT*(1-Tax))</t>
  </si>
  <si>
    <t>Change in WC</t>
  </si>
  <si>
    <t>Reinvestment Amt</t>
  </si>
  <si>
    <t>Particulars (cr)</t>
  </si>
  <si>
    <t>Operating cost</t>
  </si>
  <si>
    <t>PV of FCFF</t>
  </si>
  <si>
    <t>Terminal Rate</t>
  </si>
  <si>
    <t>Terminal Value:</t>
  </si>
  <si>
    <r>
      <t>FCFF</t>
    </r>
    <r>
      <rPr>
        <vertAlign val="subscript"/>
        <sz val="11"/>
        <color theme="1"/>
        <rFont val="Calibri"/>
        <family val="2"/>
        <scheme val="minor"/>
      </rPr>
      <t>(n+1)</t>
    </r>
  </si>
  <si>
    <t>PV of Terminal Value</t>
  </si>
  <si>
    <t>Enterprise  Value:</t>
  </si>
  <si>
    <t>Enterprise Value</t>
  </si>
  <si>
    <t>Cash</t>
  </si>
  <si>
    <t>Equity Value</t>
  </si>
  <si>
    <t>No of Shares</t>
  </si>
  <si>
    <t>Intrinsic Value per share</t>
  </si>
  <si>
    <t>Senstivity Analysis</t>
  </si>
  <si>
    <t>Dynamic Loan Amortization Schedule with scenario-based repayment analysis.</t>
  </si>
  <si>
    <t xml:space="preserve">Loan Portfolio Risk &amp; Improving Profitability - CASE STUDY </t>
  </si>
  <si>
    <r>
      <rPr>
        <b/>
        <u val="double"/>
        <sz val="16"/>
        <color theme="0"/>
        <rFont val="Calibri"/>
        <family val="2"/>
        <scheme val="minor"/>
      </rPr>
      <t>Banking Portfolio Risk Analysis &amp; Financial Modeling</t>
    </r>
    <r>
      <rPr>
        <b/>
        <u val="double"/>
        <sz val="18"/>
        <color theme="0"/>
        <rFont val="Calibri"/>
        <family val="2"/>
        <scheme val="minor"/>
      </rPr>
      <t xml:space="preserve">
End-to-End Financial Modeling Case Study</t>
    </r>
  </si>
  <si>
    <t>Developed an end-to-end financial modeling project to evaluate loan repayment, lending profitability, investment decisions, debt obligations, depreciation schedules, cost of capital, and intrinsic company valuation using Microsoft Excel.</t>
  </si>
  <si>
    <t>Project Objective:</t>
  </si>
  <si>
    <t>Banks and financial institutions require structured financial models to evaluate:</t>
  </si>
  <si>
    <t>Loan repayment behaviour</t>
  </si>
  <si>
    <t>Customer profitability</t>
  </si>
  <si>
    <t>Early loan closure impact</t>
  </si>
  <si>
    <t>Capital investment decisions</t>
  </si>
  <si>
    <t>Debt management</t>
  </si>
  <si>
    <t>Company valuation</t>
  </si>
  <si>
    <t>Business Problem:</t>
  </si>
  <si>
    <t>Time Value of Money</t>
  </si>
  <si>
    <t>Loan Amortization</t>
  </si>
  <si>
    <t>Early Loan Settlement</t>
  </si>
  <si>
    <t>Capital Budgeting</t>
  </si>
  <si>
    <t>Depreciation</t>
  </si>
  <si>
    <t>Debt Financing</t>
  </si>
  <si>
    <t>Discounted Cash Flow Valuation</t>
  </si>
  <si>
    <t>Intrinsic Value</t>
  </si>
  <si>
    <t>Financial Concepts Covered:</t>
  </si>
  <si>
    <t>Assumptions:</t>
  </si>
  <si>
    <t xml:space="preserve">INVESTMENT DECISION ANALYSIS </t>
  </si>
  <si>
    <t>Corporate (cr)</t>
  </si>
  <si>
    <t>Housing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</si>
</sst>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0\A"/>
    <numFmt numFmtId="165" formatCode="0\F"/>
    <numFmt numFmtId="166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 val="double"/>
      <sz val="72"/>
      <color theme="0"/>
      <name val="Calibri"/>
      <family val="2"/>
      <scheme val="minor"/>
    </font>
    <font>
      <b/>
      <u val="double"/>
      <sz val="16"/>
      <color theme="0"/>
      <name val="Calibri"/>
      <family val="2"/>
      <scheme val="minor"/>
    </font>
    <font>
      <b/>
      <u val="double"/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6" fontId="0" fillId="0" borderId="10" xfId="0" applyNumberFormat="1" applyBorder="1" applyAlignment="1">
      <alignment horizontal="right" vertical="center" wrapText="1"/>
    </xf>
    <xf numFmtId="6" fontId="0" fillId="0" borderId="10" xfId="1" applyNumberFormat="1" applyFont="1" applyBorder="1" applyAlignment="1">
      <alignment horizontal="right" vertical="center" wrapText="1"/>
    </xf>
    <xf numFmtId="6" fontId="0" fillId="0" borderId="10" xfId="0" applyNumberFormat="1" applyBorder="1"/>
    <xf numFmtId="0" fontId="0" fillId="0" borderId="11" xfId="0" applyBorder="1" applyAlignment="1">
      <alignment vertical="center" wrapText="1"/>
    </xf>
    <xf numFmtId="6" fontId="0" fillId="0" borderId="11" xfId="0" applyNumberFormat="1" applyBorder="1" applyAlignment="1">
      <alignment horizontal="right" vertical="center" wrapText="1"/>
    </xf>
    <xf numFmtId="6" fontId="0" fillId="0" borderId="11" xfId="1" applyNumberFormat="1" applyFont="1" applyBorder="1" applyAlignment="1">
      <alignment horizontal="right" vertical="center" wrapText="1"/>
    </xf>
    <xf numFmtId="6" fontId="0" fillId="0" borderId="11" xfId="0" applyNumberFormat="1" applyBorder="1"/>
    <xf numFmtId="0" fontId="0" fillId="0" borderId="11" xfId="0" applyBorder="1"/>
    <xf numFmtId="6" fontId="0" fillId="0" borderId="11" xfId="1" applyNumberFormat="1" applyFont="1" applyBorder="1"/>
    <xf numFmtId="3" fontId="6" fillId="0" borderId="0" xfId="0" applyNumberFormat="1" applyFon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17" fontId="6" fillId="0" borderId="6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17" fontId="6" fillId="0" borderId="8" xfId="0" applyNumberFormat="1" applyFont="1" applyBorder="1" applyAlignment="1">
      <alignment vertical="center" wrapText="1"/>
    </xf>
    <xf numFmtId="0" fontId="0" fillId="0" borderId="10" xfId="0" applyBorder="1"/>
    <xf numFmtId="0" fontId="7" fillId="0" borderId="0" xfId="0" applyFont="1"/>
    <xf numFmtId="0" fontId="8" fillId="0" borderId="0" xfId="0" applyFont="1"/>
    <xf numFmtId="0" fontId="0" fillId="0" borderId="11" xfId="0" applyBorder="1" applyAlignment="1">
      <alignment horizontal="right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9" fontId="0" fillId="0" borderId="11" xfId="0" applyNumberFormat="1" applyBorder="1" applyAlignment="1">
      <alignment horizontal="right" vertical="center"/>
    </xf>
    <xf numFmtId="0" fontId="0" fillId="0" borderId="18" xfId="0" applyBorder="1" applyAlignment="1">
      <alignment vertical="center" wrapText="1"/>
    </xf>
    <xf numFmtId="6" fontId="0" fillId="0" borderId="18" xfId="0" applyNumberFormat="1" applyBorder="1" applyAlignment="1">
      <alignment horizontal="right" vertical="center" wrapText="1"/>
    </xf>
    <xf numFmtId="0" fontId="0" fillId="0" borderId="19" xfId="0" applyBorder="1" applyAlignment="1">
      <alignment vertical="center" wrapText="1"/>
    </xf>
    <xf numFmtId="6" fontId="0" fillId="0" borderId="19" xfId="0" applyNumberFormat="1" applyBorder="1" applyAlignment="1">
      <alignment horizontal="right" vertical="center" wrapText="1"/>
    </xf>
    <xf numFmtId="9" fontId="2" fillId="0" borderId="0" xfId="0" applyNumberFormat="1" applyFont="1"/>
    <xf numFmtId="8" fontId="0" fillId="0" borderId="20" xfId="0" applyNumberFormat="1" applyBorder="1" applyAlignment="1">
      <alignment horizontal="right" vertical="center" wrapText="1"/>
    </xf>
    <xf numFmtId="2" fontId="0" fillId="0" borderId="20" xfId="0" applyNumberFormat="1" applyBorder="1" applyAlignment="1">
      <alignment horizontal="right" vertical="center" wrapText="1"/>
    </xf>
    <xf numFmtId="1" fontId="0" fillId="0" borderId="20" xfId="0" applyNumberFormat="1" applyBorder="1" applyAlignment="1">
      <alignment horizontal="right" vertical="center" wrapText="1"/>
    </xf>
    <xf numFmtId="9" fontId="0" fillId="0" borderId="20" xfId="0" applyNumberFormat="1" applyBorder="1" applyAlignment="1">
      <alignment horizontal="right" vertical="center" wrapText="1"/>
    </xf>
    <xf numFmtId="0" fontId="0" fillId="0" borderId="24" xfId="0" applyBorder="1" applyAlignment="1">
      <alignment vertical="center" wrapText="1"/>
    </xf>
    <xf numFmtId="8" fontId="0" fillId="0" borderId="25" xfId="0" applyNumberFormat="1" applyBorder="1" applyAlignment="1">
      <alignment horizontal="right" vertical="center" wrapText="1"/>
    </xf>
    <xf numFmtId="9" fontId="0" fillId="0" borderId="25" xfId="0" applyNumberFormat="1" applyBorder="1" applyAlignment="1">
      <alignment horizontal="right" vertical="center" wrapText="1"/>
    </xf>
    <xf numFmtId="9" fontId="0" fillId="0" borderId="25" xfId="2" applyFont="1" applyBorder="1" applyAlignment="1">
      <alignment horizontal="right" vertical="center" wrapText="1"/>
    </xf>
    <xf numFmtId="0" fontId="0" fillId="0" borderId="26" xfId="0" applyBorder="1" applyAlignment="1">
      <alignment vertical="center" wrapText="1"/>
    </xf>
    <xf numFmtId="9" fontId="0" fillId="0" borderId="27" xfId="2" applyFont="1" applyBorder="1" applyAlignment="1">
      <alignment horizontal="right" vertical="center" wrapText="1"/>
    </xf>
    <xf numFmtId="9" fontId="0" fillId="0" borderId="28" xfId="2" applyFont="1" applyBorder="1" applyAlignment="1">
      <alignment horizontal="right" vertical="center" wrapText="1"/>
    </xf>
    <xf numFmtId="6" fontId="7" fillId="3" borderId="0" xfId="0" applyNumberFormat="1" applyFont="1" applyFill="1"/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right" vertical="center" wrapText="1"/>
    </xf>
    <xf numFmtId="0" fontId="12" fillId="0" borderId="0" xfId="0" applyFont="1"/>
    <xf numFmtId="0" fontId="9" fillId="4" borderId="0" xfId="0" applyFont="1" applyFill="1"/>
    <xf numFmtId="0" fontId="13" fillId="4" borderId="0" xfId="0" applyFont="1" applyFill="1"/>
    <xf numFmtId="0" fontId="15" fillId="0" borderId="0" xfId="0" applyFont="1"/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14" xfId="0" applyFont="1" applyBorder="1" applyAlignment="1">
      <alignment horizontal="center" vertical="center" wrapText="1"/>
    </xf>
    <xf numFmtId="6" fontId="0" fillId="0" borderId="16" xfId="0" applyNumberFormat="1" applyBorder="1"/>
    <xf numFmtId="6" fontId="0" fillId="0" borderId="0" xfId="0" applyNumberFormat="1"/>
    <xf numFmtId="6" fontId="6" fillId="0" borderId="11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11" xfId="0" applyFont="1" applyBorder="1" applyAlignment="1">
      <alignment vertical="center" wrapText="1"/>
    </xf>
    <xf numFmtId="6" fontId="6" fillId="0" borderId="0" xfId="0" applyNumberFormat="1" applyFont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3" fontId="6" fillId="0" borderId="16" xfId="0" applyNumberFormat="1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17" fillId="0" borderId="0" xfId="0" applyFont="1"/>
    <xf numFmtId="6" fontId="6" fillId="0" borderId="11" xfId="0" applyNumberFormat="1" applyFont="1" applyBorder="1" applyAlignment="1">
      <alignment horizontal="right" vertical="center" wrapText="1"/>
    </xf>
    <xf numFmtId="9" fontId="6" fillId="0" borderId="11" xfId="0" applyNumberFormat="1" applyFont="1" applyBorder="1" applyAlignment="1">
      <alignment horizontal="right" vertical="center" wrapText="1"/>
    </xf>
    <xf numFmtId="0" fontId="18" fillId="0" borderId="18" xfId="0" applyFont="1" applyBorder="1" applyAlignment="1">
      <alignment horizontal="right" vertical="center" wrapText="1"/>
    </xf>
    <xf numFmtId="6" fontId="0" fillId="0" borderId="16" xfId="0" applyNumberFormat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20" fillId="5" borderId="9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right" vertical="center" wrapText="1"/>
    </xf>
    <xf numFmtId="0" fontId="20" fillId="5" borderId="12" xfId="0" applyFont="1" applyFill="1" applyBorder="1"/>
    <xf numFmtId="0" fontId="20" fillId="5" borderId="12" xfId="0" applyFont="1" applyFill="1" applyBorder="1" applyAlignment="1">
      <alignment wrapText="1"/>
    </xf>
    <xf numFmtId="2" fontId="2" fillId="6" borderId="11" xfId="0" applyNumberFormat="1" applyFont="1" applyFill="1" applyBorder="1"/>
    <xf numFmtId="6" fontId="2" fillId="6" borderId="11" xfId="0" applyNumberFormat="1" applyFont="1" applyFill="1" applyBorder="1"/>
    <xf numFmtId="0" fontId="20" fillId="5" borderId="12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right" vertical="center"/>
    </xf>
    <xf numFmtId="0" fontId="20" fillId="5" borderId="17" xfId="0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right" vertical="center" wrapText="1"/>
    </xf>
    <xf numFmtId="0" fontId="0" fillId="5" borderId="0" xfId="0" applyFill="1"/>
    <xf numFmtId="0" fontId="20" fillId="5" borderId="11" xfId="0" applyFont="1" applyFill="1" applyBorder="1"/>
    <xf numFmtId="0" fontId="20" fillId="5" borderId="12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right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31" xfId="0" applyFont="1" applyFill="1" applyBorder="1" applyAlignment="1">
      <alignment horizontal="right" vertical="center" wrapText="1"/>
    </xf>
    <xf numFmtId="0" fontId="2" fillId="6" borderId="0" xfId="0" applyFont="1" applyFill="1"/>
    <xf numFmtId="10" fontId="2" fillId="6" borderId="0" xfId="0" applyNumberFormat="1" applyFont="1" applyFill="1"/>
    <xf numFmtId="0" fontId="2" fillId="6" borderId="31" xfId="0" applyFont="1" applyFill="1" applyBorder="1"/>
    <xf numFmtId="0" fontId="0" fillId="6" borderId="0" xfId="0" applyFill="1"/>
    <xf numFmtId="9" fontId="0" fillId="6" borderId="0" xfId="2" applyFont="1" applyFill="1"/>
    <xf numFmtId="9" fontId="0" fillId="6" borderId="0" xfId="2" applyFont="1" applyFill="1" applyBorder="1"/>
    <xf numFmtId="0" fontId="20" fillId="5" borderId="10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right" vertical="center" wrapText="1"/>
    </xf>
    <xf numFmtId="0" fontId="20" fillId="5" borderId="21" xfId="0" applyFont="1" applyFill="1" applyBorder="1" applyAlignment="1">
      <alignment horizontal="center" vertical="center" wrapText="1"/>
    </xf>
    <xf numFmtId="6" fontId="0" fillId="6" borderId="16" xfId="0" applyNumberFormat="1" applyFill="1" applyBorder="1" applyAlignment="1">
      <alignment horizontal="right" vertical="center" wrapText="1"/>
    </xf>
    <xf numFmtId="0" fontId="0" fillId="0" borderId="16" xfId="0" applyBorder="1" applyAlignment="1">
      <alignment wrapText="1"/>
    </xf>
    <xf numFmtId="9" fontId="6" fillId="0" borderId="16" xfId="0" applyNumberFormat="1" applyFont="1" applyBorder="1"/>
    <xf numFmtId="6" fontId="0" fillId="6" borderId="0" xfId="0" applyNumberFormat="1" applyFill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9" fontId="0" fillId="0" borderId="11" xfId="0" applyNumberFormat="1" applyBorder="1"/>
    <xf numFmtId="0" fontId="2" fillId="0" borderId="32" xfId="0" applyFont="1" applyBorder="1" applyAlignment="1">
      <alignment horizontal="left" vertical="center" wrapText="1"/>
    </xf>
    <xf numFmtId="6" fontId="2" fillId="0" borderId="32" xfId="0" applyNumberFormat="1" applyFont="1" applyBorder="1" applyAlignment="1">
      <alignment horizontal="right" vertical="center" wrapText="1"/>
    </xf>
    <xf numFmtId="164" fontId="20" fillId="5" borderId="12" xfId="0" applyNumberFormat="1" applyFont="1" applyFill="1" applyBorder="1"/>
    <xf numFmtId="165" fontId="20" fillId="5" borderId="12" xfId="0" applyNumberFormat="1" applyFont="1" applyFill="1" applyBorder="1"/>
    <xf numFmtId="9" fontId="2" fillId="6" borderId="0" xfId="0" applyNumberFormat="1" applyFont="1" applyFill="1"/>
    <xf numFmtId="0" fontId="0" fillId="0" borderId="33" xfId="0" applyBorder="1" applyAlignment="1">
      <alignment vertical="center" wrapText="1"/>
    </xf>
    <xf numFmtId="9" fontId="0" fillId="0" borderId="33" xfId="2" applyFont="1" applyBorder="1"/>
    <xf numFmtId="0" fontId="0" fillId="0" borderId="34" xfId="0" applyBorder="1" applyAlignment="1">
      <alignment vertical="center" wrapText="1"/>
    </xf>
    <xf numFmtId="6" fontId="0" fillId="0" borderId="34" xfId="0" applyNumberFormat="1" applyBorder="1"/>
    <xf numFmtId="0" fontId="0" fillId="0" borderId="17" xfId="0" applyBorder="1" applyAlignment="1">
      <alignment vertical="center" wrapText="1"/>
    </xf>
    <xf numFmtId="6" fontId="0" fillId="0" borderId="17" xfId="0" applyNumberFormat="1" applyBorder="1"/>
    <xf numFmtId="0" fontId="2" fillId="0" borderId="30" xfId="0" applyFont="1" applyBorder="1" applyAlignment="1">
      <alignment horizontal="left" vertical="center" wrapText="1"/>
    </xf>
    <xf numFmtId="8" fontId="2" fillId="0" borderId="30" xfId="0" applyNumberFormat="1" applyFont="1" applyBorder="1" applyAlignment="1">
      <alignment horizontal="right" vertical="center" wrapText="1"/>
    </xf>
    <xf numFmtId="0" fontId="0" fillId="0" borderId="17" xfId="0" applyBorder="1" applyAlignment="1">
      <alignment horizontal="left" vertical="center" wrapText="1"/>
    </xf>
    <xf numFmtId="9" fontId="0" fillId="0" borderId="17" xfId="0" applyNumberFormat="1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6" fontId="0" fillId="0" borderId="33" xfId="0" applyNumberFormat="1" applyBorder="1"/>
    <xf numFmtId="0" fontId="0" fillId="0" borderId="12" xfId="0" applyBorder="1" applyAlignment="1">
      <alignment horizontal="left" vertical="center" wrapText="1"/>
    </xf>
    <xf numFmtId="6" fontId="0" fillId="0" borderId="12" xfId="0" applyNumberFormat="1" applyBorder="1" applyAlignment="1">
      <alignment horizontal="right" vertical="center" wrapText="1"/>
    </xf>
    <xf numFmtId="9" fontId="6" fillId="0" borderId="33" xfId="2" applyFont="1" applyBorder="1"/>
    <xf numFmtId="0" fontId="2" fillId="0" borderId="31" xfId="0" applyFont="1" applyBorder="1"/>
    <xf numFmtId="8" fontId="2" fillId="0" borderId="31" xfId="0" applyNumberFormat="1" applyFont="1" applyBorder="1"/>
    <xf numFmtId="0" fontId="0" fillId="0" borderId="34" xfId="0" applyBorder="1"/>
    <xf numFmtId="8" fontId="0" fillId="0" borderId="34" xfId="0" applyNumberFormat="1" applyBorder="1"/>
    <xf numFmtId="0" fontId="2" fillId="0" borderId="11" xfId="0" applyFont="1" applyBorder="1"/>
    <xf numFmtId="8" fontId="2" fillId="0" borderId="11" xfId="0" applyNumberFormat="1" applyFont="1" applyBorder="1"/>
    <xf numFmtId="0" fontId="2" fillId="0" borderId="32" xfId="0" applyFont="1" applyBorder="1"/>
    <xf numFmtId="8" fontId="2" fillId="0" borderId="32" xfId="0" applyNumberFormat="1" applyFont="1" applyBorder="1"/>
    <xf numFmtId="0" fontId="0" fillId="0" borderId="35" xfId="0" applyBorder="1"/>
    <xf numFmtId="8" fontId="0" fillId="0" borderId="35" xfId="0" applyNumberFormat="1" applyBorder="1"/>
    <xf numFmtId="0" fontId="0" fillId="0" borderId="36" xfId="0" applyBorder="1"/>
    <xf numFmtId="8" fontId="0" fillId="0" borderId="36" xfId="0" applyNumberFormat="1" applyBorder="1"/>
    <xf numFmtId="0" fontId="0" fillId="0" borderId="18" xfId="0" applyBorder="1"/>
    <xf numFmtId="0" fontId="2" fillId="0" borderId="29" xfId="0" applyFont="1" applyBorder="1"/>
    <xf numFmtId="8" fontId="2" fillId="0" borderId="29" xfId="0" applyNumberFormat="1" applyFont="1" applyBorder="1"/>
    <xf numFmtId="9" fontId="0" fillId="0" borderId="37" xfId="0" applyNumberFormat="1" applyBorder="1"/>
    <xf numFmtId="9" fontId="0" fillId="6" borderId="37" xfId="0" applyNumberFormat="1" applyFill="1" applyBorder="1"/>
    <xf numFmtId="9" fontId="0" fillId="0" borderId="18" xfId="0" applyNumberFormat="1" applyBorder="1"/>
    <xf numFmtId="2" fontId="0" fillId="0" borderId="18" xfId="0" applyNumberFormat="1" applyBorder="1"/>
    <xf numFmtId="2" fontId="0" fillId="6" borderId="18" xfId="0" applyNumberFormat="1" applyFill="1" applyBorder="1"/>
    <xf numFmtId="9" fontId="0" fillId="6" borderId="18" xfId="0" applyNumberFormat="1" applyFill="1" applyBorder="1"/>
    <xf numFmtId="166" fontId="25" fillId="6" borderId="18" xfId="0" applyNumberFormat="1" applyFont="1" applyFill="1" applyBorder="1"/>
    <xf numFmtId="9" fontId="0" fillId="0" borderId="38" xfId="0" applyNumberFormat="1" applyBorder="1"/>
    <xf numFmtId="2" fontId="0" fillId="0" borderId="38" xfId="0" applyNumberFormat="1" applyBorder="1"/>
    <xf numFmtId="2" fontId="0" fillId="6" borderId="38" xfId="0" applyNumberFormat="1" applyFill="1" applyBorder="1"/>
    <xf numFmtId="0" fontId="20" fillId="7" borderId="0" xfId="0" applyFont="1" applyFill="1"/>
    <xf numFmtId="8" fontId="26" fillId="0" borderId="37" xfId="0" applyNumberFormat="1" applyFont="1" applyBorder="1"/>
    <xf numFmtId="0" fontId="0" fillId="0" borderId="16" xfId="0" applyBorder="1" applyAlignment="1">
      <alignment vertical="center"/>
    </xf>
    <xf numFmtId="9" fontId="6" fillId="0" borderId="16" xfId="0" applyNumberFormat="1" applyFont="1" applyBorder="1" applyAlignment="1">
      <alignment horizontal="right" vertical="center"/>
    </xf>
    <xf numFmtId="0" fontId="20" fillId="5" borderId="22" xfId="0" applyFont="1" applyFill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top"/>
    </xf>
    <xf numFmtId="0" fontId="21" fillId="5" borderId="0" xfId="0" applyFont="1" applyFill="1" applyAlignment="1">
      <alignment vertical="center"/>
    </xf>
    <xf numFmtId="0" fontId="32" fillId="5" borderId="0" xfId="0" applyFont="1" applyFill="1"/>
    <xf numFmtId="0" fontId="0" fillId="8" borderId="0" xfId="0" applyFill="1"/>
    <xf numFmtId="0" fontId="16" fillId="8" borderId="0" xfId="0" applyFont="1" applyFill="1"/>
    <xf numFmtId="0" fontId="16" fillId="8" borderId="0" xfId="0" applyFont="1" applyFill="1" applyAlignment="1">
      <alignment horizontal="left" vertical="center" indent="1"/>
    </xf>
    <xf numFmtId="10" fontId="2" fillId="6" borderId="31" xfId="0" applyNumberFormat="1" applyFont="1" applyFill="1" applyBorder="1"/>
    <xf numFmtId="0" fontId="20" fillId="5" borderId="30" xfId="0" applyFont="1" applyFill="1" applyBorder="1" applyAlignment="1">
      <alignment horizontal="left"/>
    </xf>
    <xf numFmtId="0" fontId="20" fillId="5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0" fillId="6" borderId="0" xfId="0" applyFill="1" applyAlignment="1">
      <alignment horizontal="left" wrapText="1"/>
    </xf>
    <xf numFmtId="0" fontId="23" fillId="5" borderId="13" xfId="0" applyFont="1" applyFill="1" applyBorder="1" applyAlignment="1">
      <alignment horizontal="left"/>
    </xf>
    <xf numFmtId="0" fontId="23" fillId="5" borderId="14" xfId="0" applyFont="1" applyFill="1" applyBorder="1" applyAlignment="1">
      <alignment horizontal="left"/>
    </xf>
    <xf numFmtId="0" fontId="23" fillId="5" borderId="15" xfId="0" applyFont="1" applyFill="1" applyBorder="1" applyAlignment="1">
      <alignment horizontal="left"/>
    </xf>
    <xf numFmtId="0" fontId="20" fillId="5" borderId="30" xfId="0" applyFont="1" applyFill="1" applyBorder="1" applyAlignment="1">
      <alignment horizontal="left" vertical="center"/>
    </xf>
    <xf numFmtId="0" fontId="20" fillId="5" borderId="0" xfId="0" applyFont="1" applyFill="1" applyAlignment="1">
      <alignment horizontal="left"/>
    </xf>
    <xf numFmtId="0" fontId="20" fillId="5" borderId="0" xfId="0" applyFont="1" applyFill="1" applyAlignment="1">
      <alignment horizontal="left" vertical="center"/>
    </xf>
    <xf numFmtId="0" fontId="21" fillId="5" borderId="13" xfId="0" applyFont="1" applyFill="1" applyBorder="1" applyAlignment="1">
      <alignment horizontal="center"/>
    </xf>
    <xf numFmtId="0" fontId="21" fillId="5" borderId="14" xfId="0" applyFont="1" applyFill="1" applyBorder="1" applyAlignment="1">
      <alignment horizontal="center"/>
    </xf>
    <xf numFmtId="0" fontId="21" fillId="5" borderId="15" xfId="0" applyFont="1" applyFill="1" applyBorder="1" applyAlignment="1">
      <alignment horizontal="center"/>
    </xf>
    <xf numFmtId="0" fontId="22" fillId="5" borderId="13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wrapText="1"/>
    </xf>
    <xf numFmtId="0" fontId="16" fillId="0" borderId="29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14" fillId="2" borderId="0" xfId="0" applyFont="1" applyFill="1" applyAlignment="1">
      <alignment horizontal="left"/>
    </xf>
    <xf numFmtId="0" fontId="16" fillId="0" borderId="17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8" borderId="0" xfId="0" applyFont="1" applyFill="1" applyAlignment="1">
      <alignment horizontal="left" wrapText="1"/>
    </xf>
    <xf numFmtId="0" fontId="28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left"/>
    </xf>
    <xf numFmtId="0" fontId="0" fillId="0" borderId="0" xfId="0" applyBorder="1" applyAlignment="1">
      <alignment vertical="center" wrapText="1"/>
    </xf>
    <xf numFmtId="6" fontId="0" fillId="0" borderId="0" xfId="0" applyNumberFormat="1" applyBorder="1"/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23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right" vertical="center" wrapText="1"/>
    </xf>
    <xf numFmtId="6" fontId="6" fillId="0" borderId="0" xfId="0" applyNumberFormat="1" applyFont="1" applyFill="1" applyBorder="1" applyAlignment="1">
      <alignment horizontal="right" vertical="center" wrapText="1"/>
    </xf>
    <xf numFmtId="9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right" vertical="center" wrapText="1"/>
    </xf>
    <xf numFmtId="6" fontId="0" fillId="0" borderId="0" xfId="0" applyNumberFormat="1" applyFill="1" applyBorder="1" applyAlignment="1">
      <alignment horizontal="right" vertical="center" wrapText="1"/>
    </xf>
    <xf numFmtId="0" fontId="23" fillId="0" borderId="0" xfId="0" applyFont="1" applyFill="1" applyBorder="1" applyAlignment="1"/>
    <xf numFmtId="10" fontId="0" fillId="0" borderId="1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6"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DCF!$B$47</c:f>
              <c:strCache>
                <c:ptCount val="1"/>
                <c:pt idx="0">
                  <c:v>PV of FCFF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DCF!$C$47:$H$47</c:f>
              <c:numCache>
                <c:formatCode>"₹"#,##0.00_);[Red]\("₹"#,##0.00\)</c:formatCode>
                <c:ptCount val="6"/>
                <c:pt idx="0">
                  <c:v>32.75</c:v>
                </c:pt>
                <c:pt idx="1">
                  <c:v>29.046563192904657</c:v>
                </c:pt>
                <c:pt idx="2">
                  <c:v>25.761918574638276</c:v>
                </c:pt>
                <c:pt idx="3">
                  <c:v>22.84870827018916</c:v>
                </c:pt>
                <c:pt idx="4">
                  <c:v>20.264929729657791</c:v>
                </c:pt>
                <c:pt idx="5">
                  <c:v>17.973330137168773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C-4A98-A5FA-9D4AE89264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606528"/>
        <c:axId val="1963227024"/>
      </c:barChart>
      <c:catAx>
        <c:axId val="5260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27024"/>
        <c:crosses val="autoZero"/>
        <c:auto val="1"/>
        <c:lblAlgn val="ctr"/>
        <c:lblOffset val="100"/>
        <c:noMultiLvlLbl val="0"/>
      </c:catAx>
      <c:valAx>
        <c:axId val="1963227024"/>
        <c:scaling>
          <c:orientation val="minMax"/>
        </c:scaling>
        <c:delete val="0"/>
        <c:axPos val="l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6528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739140</xdr:colOff>
      <xdr:row>0</xdr:row>
      <xdr:rowOff>144780</xdr:rowOff>
    </xdr:from>
    <xdr:to>
      <xdr:col>22</xdr:col>
      <xdr:colOff>792480</xdr:colOff>
      <xdr:row>1</xdr:row>
      <xdr:rowOff>678180</xdr:rowOff>
    </xdr:to>
    <xdr:pic>
      <xdr:nvPicPr>
        <xdr:cNvPr id="4" name="Graphic 3" descr="Bank with solid fill">
          <a:extLst>
            <a:ext uri="{FF2B5EF4-FFF2-40B4-BE49-F238E27FC236}">
              <a16:creationId xmlns:a16="http://schemas.microsoft.com/office/drawing/2014/main" id="{8392F92C-8387-7A2B-4EA1-C253554BA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068300" y="144780"/>
          <a:ext cx="868680" cy="716280"/>
        </a:xfrm>
        <a:prstGeom prst="rect">
          <a:avLst/>
        </a:prstGeom>
      </xdr:spPr>
    </xdr:pic>
    <xdr:clientData/>
  </xdr:twoCellAnchor>
  <xdr:twoCellAnchor editAs="oneCell">
    <xdr:from>
      <xdr:col>20</xdr:col>
      <xdr:colOff>236220</xdr:colOff>
      <xdr:row>0</xdr:row>
      <xdr:rowOff>91440</xdr:rowOff>
    </xdr:from>
    <xdr:to>
      <xdr:col>21</xdr:col>
      <xdr:colOff>441960</xdr:colOff>
      <xdr:row>2</xdr:row>
      <xdr:rowOff>15240</xdr:rowOff>
    </xdr:to>
    <xdr:pic>
      <xdr:nvPicPr>
        <xdr:cNvPr id="6" name="Graphic 5" descr="Money with solid fill">
          <a:extLst>
            <a:ext uri="{FF2B5EF4-FFF2-40B4-BE49-F238E27FC236}">
              <a16:creationId xmlns:a16="http://schemas.microsoft.com/office/drawing/2014/main" id="{3FD776DE-63C4-07C6-F3BF-9ADED2FAF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955780" y="91440"/>
          <a:ext cx="815340" cy="792480"/>
        </a:xfrm>
        <a:prstGeom prst="rect">
          <a:avLst/>
        </a:prstGeom>
      </xdr:spPr>
    </xdr:pic>
    <xdr:clientData/>
  </xdr:twoCellAnchor>
  <xdr:twoCellAnchor editAs="oneCell">
    <xdr:from>
      <xdr:col>2</xdr:col>
      <xdr:colOff>350520</xdr:colOff>
      <xdr:row>1</xdr:row>
      <xdr:rowOff>53340</xdr:rowOff>
    </xdr:from>
    <xdr:to>
      <xdr:col>3</xdr:col>
      <xdr:colOff>411480</xdr:colOff>
      <xdr:row>2</xdr:row>
      <xdr:rowOff>0</xdr:rowOff>
    </xdr:to>
    <xdr:pic>
      <xdr:nvPicPr>
        <xdr:cNvPr id="8" name="Graphic 7" descr="Confused person with solid fill">
          <a:extLst>
            <a:ext uri="{FF2B5EF4-FFF2-40B4-BE49-F238E27FC236}">
              <a16:creationId xmlns:a16="http://schemas.microsoft.com/office/drawing/2014/main" id="{EFC4E2FF-79E6-319B-48C8-212A2323D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03960" y="236220"/>
          <a:ext cx="670560" cy="632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7620</xdr:rowOff>
    </xdr:from>
    <xdr:to>
      <xdr:col>2</xdr:col>
      <xdr:colOff>289560</xdr:colOff>
      <xdr:row>2</xdr:row>
      <xdr:rowOff>38100</xdr:rowOff>
    </xdr:to>
    <xdr:pic>
      <xdr:nvPicPr>
        <xdr:cNvPr id="9" name="Graphic 8" descr="Bank with solid fill">
          <a:extLst>
            <a:ext uri="{FF2B5EF4-FFF2-40B4-BE49-F238E27FC236}">
              <a16:creationId xmlns:a16="http://schemas.microsoft.com/office/drawing/2014/main" id="{E4B33AA6-A371-4E0A-8EAB-16A5879D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7640" y="190500"/>
          <a:ext cx="868680" cy="716280"/>
        </a:xfrm>
        <a:prstGeom prst="rect">
          <a:avLst/>
        </a:prstGeom>
      </xdr:spPr>
    </xdr:pic>
    <xdr:clientData/>
  </xdr:twoCellAnchor>
  <xdr:twoCellAnchor>
    <xdr:from>
      <xdr:col>13</xdr:col>
      <xdr:colOff>441960</xdr:colOff>
      <xdr:row>23</xdr:row>
      <xdr:rowOff>114300</xdr:rowOff>
    </xdr:from>
    <xdr:to>
      <xdr:col>20</xdr:col>
      <xdr:colOff>434340</xdr:colOff>
      <xdr:row>31</xdr:row>
      <xdr:rowOff>144780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EE178B-8A40-63D6-4749-6CB9CEA83A31}"/>
            </a:ext>
          </a:extLst>
        </xdr:cNvPr>
        <xdr:cNvSpPr/>
      </xdr:nvSpPr>
      <xdr:spPr>
        <a:xfrm>
          <a:off x="7894320" y="5364480"/>
          <a:ext cx="4259580" cy="14935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 u="sng"/>
            <a:t>Prepared By : P. Umadevi</a:t>
          </a:r>
        </a:p>
        <a:p>
          <a:pPr algn="l"/>
          <a:endParaRPr lang="en-IN" sz="1800" b="1" u="sng"/>
        </a:p>
        <a:p>
          <a:pPr algn="l"/>
          <a:r>
            <a:rPr lang="en-IN" sz="1800" b="1"/>
            <a:t>PGDM ( Finance &amp; Business Analytics)</a:t>
          </a:r>
        </a:p>
        <a:p>
          <a:pPr algn="l"/>
          <a:endParaRPr lang="en-IN" sz="1800" b="1"/>
        </a:p>
        <a:p>
          <a:pPr algn="l"/>
          <a:r>
            <a:rPr lang="en-IN" sz="1800" b="1"/>
            <a:t>Date</a:t>
          </a:r>
          <a:r>
            <a:rPr lang="en-IN" sz="1800" b="1" baseline="0"/>
            <a:t> : 5- August - 2026</a:t>
          </a:r>
          <a:endParaRPr lang="en-IN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33</xdr:row>
      <xdr:rowOff>0</xdr:rowOff>
    </xdr:from>
    <xdr:to>
      <xdr:col>16</xdr:col>
      <xdr:colOff>312420</xdr:colOff>
      <xdr:row>45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57C40-61EB-4E7D-90F8-54CF0577F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C3E5-1706-44F7-996B-004CA14B0171}">
  <sheetPr>
    <tabColor rgb="FFFF0000"/>
  </sheetPr>
  <dimension ref="B3:L43"/>
  <sheetViews>
    <sheetView showGridLines="0" topLeftCell="A25" workbookViewId="0">
      <selection activeCell="L33" sqref="L33"/>
    </sheetView>
  </sheetViews>
  <sheetFormatPr defaultRowHeight="14.4" x14ac:dyDescent="0.3"/>
  <cols>
    <col min="1" max="1" width="1.88671875" customWidth="1"/>
    <col min="2" max="2" width="42.33203125" bestFit="1" customWidth="1"/>
    <col min="3" max="3" width="17.44140625" bestFit="1" customWidth="1"/>
    <col min="6" max="6" width="8.77734375" bestFit="1" customWidth="1"/>
  </cols>
  <sheetData>
    <row r="3" spans="2:10" ht="31.2" x14ac:dyDescent="0.3">
      <c r="B3" s="2" t="s">
        <v>0</v>
      </c>
      <c r="J3" s="2" t="s">
        <v>6</v>
      </c>
    </row>
    <row r="5" spans="2:10" ht="23.4" x14ac:dyDescent="0.3">
      <c r="B5" s="3" t="s">
        <v>1</v>
      </c>
      <c r="J5" t="s">
        <v>7</v>
      </c>
    </row>
    <row r="7" spans="2:10" ht="18" x14ac:dyDescent="0.3">
      <c r="B7" s="4" t="s">
        <v>2</v>
      </c>
      <c r="J7" t="s">
        <v>8</v>
      </c>
    </row>
    <row r="9" spans="2:10" x14ac:dyDescent="0.3">
      <c r="B9" s="5" t="s">
        <v>3</v>
      </c>
      <c r="J9" t="s">
        <v>9</v>
      </c>
    </row>
    <row r="11" spans="2:10" x14ac:dyDescent="0.3">
      <c r="B11" s="5" t="s">
        <v>4</v>
      </c>
      <c r="J11" t="s">
        <v>10</v>
      </c>
    </row>
    <row r="13" spans="2:10" x14ac:dyDescent="0.3">
      <c r="B13" s="5" t="s">
        <v>5</v>
      </c>
      <c r="J13" t="s">
        <v>11</v>
      </c>
    </row>
    <row r="15" spans="2:10" x14ac:dyDescent="0.3">
      <c r="J15" t="s">
        <v>12</v>
      </c>
    </row>
    <row r="17" spans="2:12" x14ac:dyDescent="0.3">
      <c r="J17" t="s">
        <v>13</v>
      </c>
    </row>
    <row r="18" spans="2:12" x14ac:dyDescent="0.3">
      <c r="J18" s="6"/>
    </row>
    <row r="19" spans="2:12" x14ac:dyDescent="0.3">
      <c r="J19" s="7" t="s">
        <v>14</v>
      </c>
    </row>
    <row r="21" spans="2:12" x14ac:dyDescent="0.3">
      <c r="J21" t="s">
        <v>15</v>
      </c>
    </row>
    <row r="26" spans="2:12" ht="31.2" x14ac:dyDescent="0.3">
      <c r="B26" s="10" t="s">
        <v>16</v>
      </c>
      <c r="C26" s="10" t="s">
        <v>17</v>
      </c>
      <c r="F26" s="2"/>
    </row>
    <row r="27" spans="2:12" x14ac:dyDescent="0.3">
      <c r="B27" s="1" t="s">
        <v>18</v>
      </c>
      <c r="C27" s="1" t="s">
        <v>19</v>
      </c>
    </row>
    <row r="28" spans="2:12" x14ac:dyDescent="0.3">
      <c r="B28" s="1" t="s">
        <v>20</v>
      </c>
      <c r="C28" s="1" t="s">
        <v>21</v>
      </c>
      <c r="F28" s="8"/>
      <c r="G28" s="8"/>
      <c r="H28" s="8"/>
      <c r="I28" s="8"/>
      <c r="J28" s="8"/>
      <c r="K28" s="8"/>
      <c r="L28" s="8"/>
    </row>
    <row r="29" spans="2:12" x14ac:dyDescent="0.3">
      <c r="B29" s="1" t="s">
        <v>22</v>
      </c>
      <c r="C29" s="1" t="s">
        <v>23</v>
      </c>
      <c r="F29" s="9"/>
      <c r="G29" s="9"/>
      <c r="H29" s="9"/>
      <c r="I29" s="11"/>
      <c r="J29" s="13"/>
      <c r="K29" s="9"/>
      <c r="L29" s="14"/>
    </row>
    <row r="30" spans="2:12" x14ac:dyDescent="0.3">
      <c r="B30" s="1" t="s">
        <v>24</v>
      </c>
      <c r="C30" s="1" t="s">
        <v>25</v>
      </c>
      <c r="F30" s="9"/>
      <c r="G30" s="9"/>
      <c r="H30" s="9"/>
      <c r="I30" s="11"/>
      <c r="J30" s="13"/>
      <c r="K30" s="9"/>
      <c r="L30" s="14"/>
    </row>
    <row r="31" spans="2:12" x14ac:dyDescent="0.3">
      <c r="B31" s="1" t="s">
        <v>26</v>
      </c>
      <c r="C31" s="1" t="s">
        <v>27</v>
      </c>
      <c r="F31" s="9"/>
      <c r="G31" s="9"/>
      <c r="H31" s="9"/>
      <c r="I31" s="11"/>
      <c r="J31" s="13"/>
      <c r="K31" s="9"/>
      <c r="L31" s="14"/>
    </row>
    <row r="32" spans="2:12" x14ac:dyDescent="0.3">
      <c r="B32" s="1" t="s">
        <v>28</v>
      </c>
      <c r="C32" s="1" t="s">
        <v>29</v>
      </c>
      <c r="F32" s="9"/>
      <c r="G32" s="9"/>
      <c r="H32" s="9"/>
      <c r="I32" s="11"/>
      <c r="J32" s="13"/>
      <c r="K32" s="9"/>
      <c r="L32" s="14"/>
    </row>
    <row r="33" spans="2:6" x14ac:dyDescent="0.3">
      <c r="B33" s="1" t="s">
        <v>30</v>
      </c>
      <c r="C33" s="1" t="s">
        <v>31</v>
      </c>
    </row>
    <row r="34" spans="2:6" x14ac:dyDescent="0.3">
      <c r="B34" s="1" t="s">
        <v>32</v>
      </c>
      <c r="C34" s="1" t="s">
        <v>33</v>
      </c>
    </row>
    <row r="38" spans="2:6" x14ac:dyDescent="0.3">
      <c r="B38" s="6" t="s">
        <v>66</v>
      </c>
      <c r="D38" s="8" t="s">
        <v>70</v>
      </c>
      <c r="E38" s="8" t="s">
        <v>73</v>
      </c>
      <c r="F38" s="8" t="s">
        <v>74</v>
      </c>
    </row>
    <row r="39" spans="2:6" ht="43.2" x14ac:dyDescent="0.3">
      <c r="B39" s="6" t="s">
        <v>67</v>
      </c>
      <c r="D39" s="9" t="s">
        <v>75</v>
      </c>
      <c r="E39" s="9" t="s">
        <v>90</v>
      </c>
      <c r="F39" s="9" t="s">
        <v>76</v>
      </c>
    </row>
    <row r="40" spans="2:6" ht="57.6" x14ac:dyDescent="0.3">
      <c r="B40" s="6" t="s">
        <v>68</v>
      </c>
      <c r="D40" s="9" t="s">
        <v>77</v>
      </c>
      <c r="E40" s="9" t="s">
        <v>78</v>
      </c>
      <c r="F40" s="9" t="s">
        <v>79</v>
      </c>
    </row>
    <row r="41" spans="2:6" ht="43.2" x14ac:dyDescent="0.3">
      <c r="B41" s="6" t="s">
        <v>69</v>
      </c>
      <c r="D41" s="9" t="s">
        <v>80</v>
      </c>
      <c r="E41" s="9" t="s">
        <v>81</v>
      </c>
      <c r="F41" s="9" t="s">
        <v>82</v>
      </c>
    </row>
    <row r="42" spans="2:6" ht="28.8" x14ac:dyDescent="0.3">
      <c r="D42" s="9" t="s">
        <v>83</v>
      </c>
      <c r="E42" s="9" t="s">
        <v>84</v>
      </c>
      <c r="F42" s="9" t="s">
        <v>85</v>
      </c>
    </row>
    <row r="43" spans="2:6" ht="43.2" x14ac:dyDescent="0.3">
      <c r="D43" s="9" t="s">
        <v>86</v>
      </c>
      <c r="E43" s="9" t="s">
        <v>87</v>
      </c>
      <c r="F43" s="9" t="s">
        <v>88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1398-AD5E-4193-B95D-5D7BD0034C5D}">
  <dimension ref="A2:P19"/>
  <sheetViews>
    <sheetView showGridLines="0" workbookViewId="0">
      <selection activeCell="J15" sqref="J15"/>
    </sheetView>
  </sheetViews>
  <sheetFormatPr defaultRowHeight="14.4" x14ac:dyDescent="0.3"/>
  <cols>
    <col min="1" max="1" width="1.88671875" customWidth="1"/>
    <col min="2" max="2" width="16.33203125" customWidth="1"/>
    <col min="3" max="3" width="8.88671875" customWidth="1"/>
  </cols>
  <sheetData>
    <row r="2" spans="1:16" ht="21" x14ac:dyDescent="0.4">
      <c r="B2" s="201" t="s">
        <v>130</v>
      </c>
      <c r="C2" s="201"/>
      <c r="D2" s="201"/>
      <c r="E2" s="69"/>
      <c r="F2" s="69"/>
    </row>
    <row r="4" spans="1:16" ht="18" x14ac:dyDescent="0.35">
      <c r="B4" s="70" t="s">
        <v>129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6" spans="1:16" ht="21" x14ac:dyDescent="0.35">
      <c r="B6" s="201" t="s">
        <v>131</v>
      </c>
      <c r="C6" s="201"/>
      <c r="D6" s="201"/>
      <c r="E6" s="72"/>
    </row>
    <row r="8" spans="1:16" ht="40.799999999999997" customHeight="1" x14ac:dyDescent="0.3">
      <c r="B8" s="202" t="s">
        <v>132</v>
      </c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</row>
    <row r="10" spans="1:16" ht="18" x14ac:dyDescent="0.35">
      <c r="A10" t="s">
        <v>62</v>
      </c>
      <c r="B10" s="203" t="s">
        <v>133</v>
      </c>
      <c r="C10" s="203"/>
      <c r="D10" s="203"/>
    </row>
    <row r="11" spans="1:16" ht="15" thickBot="1" x14ac:dyDescent="0.35"/>
    <row r="12" spans="1:16" ht="43.2" customHeight="1" thickBot="1" x14ac:dyDescent="0.35">
      <c r="B12" s="77" t="s">
        <v>134</v>
      </c>
      <c r="C12" s="205" t="s">
        <v>135</v>
      </c>
      <c r="D12" s="205"/>
      <c r="E12" s="205"/>
      <c r="F12" s="205"/>
      <c r="G12" s="205"/>
      <c r="H12" s="205"/>
      <c r="I12" s="76"/>
    </row>
    <row r="13" spans="1:16" ht="61.8" customHeight="1" x14ac:dyDescent="0.3">
      <c r="B13" s="73" t="s">
        <v>136</v>
      </c>
      <c r="C13" s="204" t="s">
        <v>137</v>
      </c>
      <c r="D13" s="204"/>
      <c r="E13" s="204"/>
      <c r="F13" s="204"/>
      <c r="G13" s="204"/>
      <c r="H13" s="204"/>
    </row>
    <row r="14" spans="1:16" ht="77.400000000000006" customHeight="1" x14ac:dyDescent="0.3">
      <c r="B14" s="74" t="s">
        <v>138</v>
      </c>
      <c r="C14" s="206" t="s">
        <v>139</v>
      </c>
      <c r="D14" s="206"/>
      <c r="E14" s="206"/>
      <c r="F14" s="206"/>
      <c r="G14" s="206"/>
      <c r="H14" s="206"/>
    </row>
    <row r="15" spans="1:16" ht="62.4" customHeight="1" x14ac:dyDescent="0.3">
      <c r="B15" s="74" t="s">
        <v>140</v>
      </c>
      <c r="C15" s="206" t="s">
        <v>141</v>
      </c>
      <c r="D15" s="206"/>
      <c r="E15" s="206"/>
      <c r="F15" s="206"/>
      <c r="G15" s="206"/>
      <c r="H15" s="206"/>
    </row>
    <row r="16" spans="1:16" ht="77.400000000000006" customHeight="1" x14ac:dyDescent="0.3">
      <c r="B16" s="74" t="s">
        <v>114</v>
      </c>
      <c r="C16" s="206" t="s">
        <v>142</v>
      </c>
      <c r="D16" s="206"/>
      <c r="E16" s="206"/>
      <c r="F16" s="206"/>
      <c r="G16" s="206"/>
      <c r="H16" s="206"/>
    </row>
    <row r="17" spans="2:8" ht="71.400000000000006" customHeight="1" x14ac:dyDescent="0.3">
      <c r="B17" s="74" t="s">
        <v>146</v>
      </c>
      <c r="C17" s="206" t="s">
        <v>143</v>
      </c>
      <c r="D17" s="206"/>
      <c r="E17" s="206"/>
      <c r="F17" s="206"/>
      <c r="G17" s="206"/>
      <c r="H17" s="206"/>
    </row>
    <row r="18" spans="2:8" ht="75.599999999999994" customHeight="1" x14ac:dyDescent="0.3">
      <c r="B18" s="74" t="s">
        <v>147</v>
      </c>
      <c r="C18" s="206" t="s">
        <v>144</v>
      </c>
      <c r="D18" s="206"/>
      <c r="E18" s="206"/>
      <c r="F18" s="206"/>
      <c r="G18" s="206"/>
      <c r="H18" s="206"/>
    </row>
    <row r="19" spans="2:8" ht="68.400000000000006" customHeight="1" thickBot="1" x14ac:dyDescent="0.35">
      <c r="B19" s="75" t="s">
        <v>148</v>
      </c>
      <c r="C19" s="200" t="s">
        <v>145</v>
      </c>
      <c r="D19" s="200"/>
      <c r="E19" s="200"/>
      <c r="F19" s="200"/>
      <c r="G19" s="200"/>
      <c r="H19" s="200"/>
    </row>
  </sheetData>
  <mergeCells count="12">
    <mergeCell ref="C19:H19"/>
    <mergeCell ref="B2:D2"/>
    <mergeCell ref="B8:P8"/>
    <mergeCell ref="B6:D6"/>
    <mergeCell ref="B10:D10"/>
    <mergeCell ref="C13:H13"/>
    <mergeCell ref="C12:H12"/>
    <mergeCell ref="C14:H14"/>
    <mergeCell ref="C15:H15"/>
    <mergeCell ref="C16:H16"/>
    <mergeCell ref="C17:H17"/>
    <mergeCell ref="C18:H18"/>
  </mergeCells>
  <pageMargins left="0.7" right="0.7" top="0.75" bottom="0.75" header="0.3" footer="0.3"/>
  <pageSetup paperSize="1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19AE-E1B2-4FDE-87C1-9DC9B65557B0}">
  <dimension ref="B2:X34"/>
  <sheetViews>
    <sheetView showGridLines="0" topLeftCell="A10" workbookViewId="0">
      <selection activeCell="K30" sqref="K30"/>
    </sheetView>
  </sheetViews>
  <sheetFormatPr defaultRowHeight="14.4" x14ac:dyDescent="0.3"/>
  <cols>
    <col min="1" max="1" width="2.44140625" customWidth="1"/>
    <col min="2" max="2" width="8.44140625" customWidth="1"/>
    <col min="22" max="22" width="11.88671875" customWidth="1"/>
    <col min="23" max="23" width="14.21875" customWidth="1"/>
    <col min="24" max="24" width="0.6640625" customWidth="1"/>
  </cols>
  <sheetData>
    <row r="2" spans="2:24" ht="54" customHeight="1" x14ac:dyDescent="0.3">
      <c r="B2" s="210" t="s">
        <v>205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177"/>
    </row>
    <row r="3" spans="2:24" ht="16.8" customHeight="1" x14ac:dyDescent="0.3"/>
    <row r="4" spans="2:24" ht="18.600000000000001" customHeight="1" x14ac:dyDescent="0.3"/>
    <row r="5" spans="2:24" ht="18.600000000000001" customHeight="1" x14ac:dyDescent="0.4">
      <c r="B5" s="178" t="s">
        <v>207</v>
      </c>
      <c r="C5" s="179"/>
      <c r="D5" s="179"/>
      <c r="E5" s="104"/>
    </row>
    <row r="7" spans="2:24" ht="28.2" customHeight="1" x14ac:dyDescent="0.3">
      <c r="B7" s="207" t="s">
        <v>206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9" spans="2:24" ht="23.4" x14ac:dyDescent="0.3">
      <c r="B9" s="208" t="s">
        <v>215</v>
      </c>
      <c r="C9" s="208"/>
      <c r="D9" s="208"/>
    </row>
    <row r="11" spans="2:24" x14ac:dyDescent="0.3">
      <c r="B11" s="181" t="s">
        <v>208</v>
      </c>
      <c r="C11" s="181"/>
      <c r="D11" s="181"/>
      <c r="E11" s="181"/>
      <c r="F11" s="181"/>
      <c r="G11" s="181"/>
      <c r="H11" s="181"/>
      <c r="I11" s="181"/>
    </row>
    <row r="12" spans="2:24" x14ac:dyDescent="0.3">
      <c r="B12" s="6"/>
    </row>
    <row r="13" spans="2:24" x14ac:dyDescent="0.3">
      <c r="B13" s="182" t="s">
        <v>209</v>
      </c>
      <c r="C13" s="181"/>
      <c r="D13" s="181"/>
    </row>
    <row r="14" spans="2:24" x14ac:dyDescent="0.3">
      <c r="B14" s="182" t="s">
        <v>210</v>
      </c>
      <c r="C14" s="181"/>
      <c r="D14" s="181"/>
    </row>
    <row r="15" spans="2:24" x14ac:dyDescent="0.3">
      <c r="B15" s="182" t="s">
        <v>211</v>
      </c>
      <c r="C15" s="181"/>
      <c r="D15" s="181"/>
    </row>
    <row r="16" spans="2:24" x14ac:dyDescent="0.3">
      <c r="B16" s="182" t="s">
        <v>212</v>
      </c>
      <c r="C16" s="181"/>
      <c r="D16" s="181"/>
    </row>
    <row r="17" spans="2:7" x14ac:dyDescent="0.3">
      <c r="B17" s="182" t="s">
        <v>213</v>
      </c>
      <c r="C17" s="181"/>
      <c r="D17" s="181"/>
    </row>
    <row r="18" spans="2:7" x14ac:dyDescent="0.3">
      <c r="B18" s="182" t="s">
        <v>214</v>
      </c>
      <c r="C18" s="181"/>
      <c r="D18" s="181"/>
    </row>
    <row r="21" spans="2:7" ht="23.4" x14ac:dyDescent="0.3">
      <c r="B21" s="209" t="s">
        <v>224</v>
      </c>
      <c r="C21" s="209"/>
      <c r="D21" s="209"/>
      <c r="E21" s="209"/>
      <c r="F21" s="209"/>
      <c r="G21" s="209"/>
    </row>
    <row r="22" spans="2:7" x14ac:dyDescent="0.3">
      <c r="B22" s="6"/>
    </row>
    <row r="23" spans="2:7" x14ac:dyDescent="0.3">
      <c r="B23" s="182" t="s">
        <v>216</v>
      </c>
      <c r="C23" s="181"/>
      <c r="D23" s="181"/>
      <c r="E23" s="181"/>
    </row>
    <row r="24" spans="2:7" x14ac:dyDescent="0.3">
      <c r="B24" s="182" t="s">
        <v>217</v>
      </c>
      <c r="C24" s="181"/>
      <c r="D24" s="181"/>
      <c r="E24" s="181"/>
    </row>
    <row r="25" spans="2:7" x14ac:dyDescent="0.3">
      <c r="B25" s="182" t="s">
        <v>218</v>
      </c>
      <c r="C25" s="181"/>
      <c r="D25" s="181"/>
      <c r="E25" s="181"/>
    </row>
    <row r="26" spans="2:7" x14ac:dyDescent="0.3">
      <c r="B26" s="182" t="s">
        <v>219</v>
      </c>
      <c r="C26" s="181"/>
      <c r="D26" s="181"/>
      <c r="E26" s="181"/>
    </row>
    <row r="27" spans="2:7" x14ac:dyDescent="0.3">
      <c r="B27" s="182" t="s">
        <v>220</v>
      </c>
      <c r="C27" s="181"/>
      <c r="D27" s="181"/>
      <c r="E27" s="181"/>
    </row>
    <row r="28" spans="2:7" x14ac:dyDescent="0.3">
      <c r="B28" s="182" t="s">
        <v>221</v>
      </c>
      <c r="C28" s="181"/>
      <c r="D28" s="181"/>
      <c r="E28" s="181"/>
    </row>
    <row r="29" spans="2:7" x14ac:dyDescent="0.3">
      <c r="B29" s="182" t="s">
        <v>166</v>
      </c>
      <c r="C29" s="181"/>
      <c r="D29" s="181"/>
      <c r="E29" s="181"/>
    </row>
    <row r="30" spans="2:7" x14ac:dyDescent="0.3">
      <c r="B30" s="182" t="s">
        <v>222</v>
      </c>
      <c r="C30" s="181"/>
      <c r="D30" s="181"/>
      <c r="E30" s="181"/>
    </row>
    <row r="31" spans="2:7" x14ac:dyDescent="0.3">
      <c r="B31" s="182" t="s">
        <v>197</v>
      </c>
      <c r="C31" s="181"/>
      <c r="D31" s="181"/>
      <c r="E31" s="181"/>
    </row>
    <row r="32" spans="2:7" x14ac:dyDescent="0.3">
      <c r="B32" s="182" t="s">
        <v>199</v>
      </c>
      <c r="C32" s="181"/>
      <c r="D32" s="181"/>
      <c r="E32" s="181"/>
    </row>
    <row r="33" spans="2:5" x14ac:dyDescent="0.3">
      <c r="B33" s="182" t="s">
        <v>223</v>
      </c>
      <c r="C33" s="181"/>
      <c r="D33" s="181"/>
      <c r="E33" s="181"/>
    </row>
    <row r="34" spans="2:5" x14ac:dyDescent="0.3">
      <c r="B34" s="182" t="s">
        <v>202</v>
      </c>
      <c r="C34" s="180"/>
      <c r="D34" s="180"/>
      <c r="E34" s="180"/>
    </row>
  </sheetData>
  <mergeCells count="4">
    <mergeCell ref="B7:Q7"/>
    <mergeCell ref="B9:D9"/>
    <mergeCell ref="B21:G21"/>
    <mergeCell ref="B2:W2"/>
  </mergeCells>
  <pageMargins left="0.7" right="0.7" top="0.75" bottom="0.7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1563-EB3F-4EFA-9E18-3BB1D48A532C}">
  <dimension ref="B2:N211"/>
  <sheetViews>
    <sheetView showGridLines="0" tabSelected="1" topLeftCell="A4" workbookViewId="0">
      <selection activeCell="K5" sqref="K5"/>
    </sheetView>
  </sheetViews>
  <sheetFormatPr defaultRowHeight="14.4" x14ac:dyDescent="0.3"/>
  <cols>
    <col min="1" max="1" width="12.33203125" customWidth="1"/>
    <col min="2" max="2" width="18.77734375" bestFit="1" customWidth="1"/>
    <col min="3" max="3" width="17.88671875" bestFit="1" customWidth="1"/>
    <col min="4" max="4" width="13.109375" bestFit="1" customWidth="1"/>
    <col min="5" max="5" width="20.6640625" bestFit="1" customWidth="1"/>
    <col min="6" max="6" width="16.6640625" customWidth="1"/>
    <col min="7" max="7" width="12.88671875" bestFit="1" customWidth="1"/>
    <col min="8" max="8" width="12.77734375" bestFit="1" customWidth="1"/>
    <col min="9" max="9" width="10.33203125" bestFit="1" customWidth="1"/>
    <col min="10" max="10" width="15.33203125" customWidth="1"/>
    <col min="11" max="11" width="14.88671875" customWidth="1"/>
    <col min="12" max="12" width="12.88671875" customWidth="1"/>
    <col min="13" max="13" width="10" bestFit="1" customWidth="1"/>
    <col min="14" max="14" width="11.5546875" bestFit="1" customWidth="1"/>
  </cols>
  <sheetData>
    <row r="2" spans="2:14" ht="15" thickBot="1" x14ac:dyDescent="0.35"/>
    <row r="3" spans="2:14" ht="21.6" thickBot="1" x14ac:dyDescent="0.45">
      <c r="B3" s="194" t="s">
        <v>204</v>
      </c>
      <c r="C3" s="195"/>
      <c r="D3" s="195"/>
      <c r="E3" s="195"/>
      <c r="F3" s="195"/>
      <c r="G3" s="195"/>
      <c r="H3" s="196"/>
    </row>
    <row r="5" spans="2:14" x14ac:dyDescent="0.3">
      <c r="B5" s="42" t="s">
        <v>53</v>
      </c>
    </row>
    <row r="7" spans="2:14" x14ac:dyDescent="0.3">
      <c r="B7" s="15" t="s">
        <v>34</v>
      </c>
      <c r="C7" s="16" t="s">
        <v>35</v>
      </c>
      <c r="D7" s="16" t="s">
        <v>36</v>
      </c>
      <c r="E7" s="17" t="s">
        <v>37</v>
      </c>
      <c r="F7" s="17" t="s">
        <v>38</v>
      </c>
      <c r="G7" s="17" t="s">
        <v>39</v>
      </c>
      <c r="H7" s="18" t="s">
        <v>40</v>
      </c>
    </row>
    <row r="8" spans="2:14" x14ac:dyDescent="0.3">
      <c r="B8" s="19" t="s">
        <v>41</v>
      </c>
      <c r="C8" s="9" t="s">
        <v>42</v>
      </c>
      <c r="D8" s="9" t="s">
        <v>43</v>
      </c>
      <c r="E8" s="33">
        <v>800000</v>
      </c>
      <c r="F8" s="34">
        <v>0.1</v>
      </c>
      <c r="G8" s="35">
        <v>5</v>
      </c>
      <c r="H8" s="36">
        <v>46023</v>
      </c>
    </row>
    <row r="9" spans="2:14" x14ac:dyDescent="0.3">
      <c r="B9" s="19" t="s">
        <v>44</v>
      </c>
      <c r="C9" s="9" t="s">
        <v>45</v>
      </c>
      <c r="D9" s="9" t="s">
        <v>46</v>
      </c>
      <c r="E9" s="33">
        <v>1200000</v>
      </c>
      <c r="F9" s="34">
        <v>0.12</v>
      </c>
      <c r="G9" s="35">
        <v>7</v>
      </c>
      <c r="H9" s="36">
        <v>46082</v>
      </c>
    </row>
    <row r="10" spans="2:14" x14ac:dyDescent="0.3">
      <c r="B10" s="19" t="s">
        <v>47</v>
      </c>
      <c r="C10" s="9" t="s">
        <v>48</v>
      </c>
      <c r="D10" s="9" t="s">
        <v>49</v>
      </c>
      <c r="E10" s="33">
        <v>500000</v>
      </c>
      <c r="F10" s="34">
        <v>0.08</v>
      </c>
      <c r="G10" s="35">
        <v>4</v>
      </c>
      <c r="H10" s="36">
        <v>46174</v>
      </c>
    </row>
    <row r="11" spans="2:14" x14ac:dyDescent="0.3">
      <c r="B11" s="20" t="s">
        <v>50</v>
      </c>
      <c r="C11" s="21" t="s">
        <v>51</v>
      </c>
      <c r="D11" s="21" t="s">
        <v>52</v>
      </c>
      <c r="E11" s="37">
        <v>1500000</v>
      </c>
      <c r="F11" s="38">
        <v>0.11</v>
      </c>
      <c r="G11" s="39">
        <v>10</v>
      </c>
      <c r="H11" s="40">
        <v>46235</v>
      </c>
    </row>
    <row r="14" spans="2:14" x14ac:dyDescent="0.3">
      <c r="B14" s="43" t="s">
        <v>61</v>
      </c>
      <c r="C14" s="43" t="str">
        <f>B8</f>
        <v>L001</v>
      </c>
      <c r="I14" s="43" t="s">
        <v>61</v>
      </c>
      <c r="J14" s="43" t="str">
        <f>B10</f>
        <v>L003</v>
      </c>
    </row>
    <row r="15" spans="2:14" ht="15" thickBot="1" x14ac:dyDescent="0.35">
      <c r="D15" cm="1">
        <f t="array" ref="D15:G15">_xlfn.SEQUENCE(,4,1,0)</f>
        <v>1</v>
      </c>
      <c r="E15">
        <v>1</v>
      </c>
      <c r="F15">
        <v>1</v>
      </c>
      <c r="G15">
        <v>1</v>
      </c>
      <c r="K15" cm="1">
        <f t="array" ref="K15:N15">_xlfn.SEQUENCE(,4,1,0)</f>
        <v>1</v>
      </c>
      <c r="L15">
        <v>1</v>
      </c>
      <c r="M15">
        <v>1</v>
      </c>
      <c r="N15">
        <v>1</v>
      </c>
    </row>
    <row r="16" spans="2:14" ht="28.8" x14ac:dyDescent="0.3">
      <c r="B16" s="94" t="s">
        <v>54</v>
      </c>
      <c r="C16" s="95" t="s">
        <v>55</v>
      </c>
      <c r="D16" s="95" t="s">
        <v>56</v>
      </c>
      <c r="E16" s="95" t="s">
        <v>57</v>
      </c>
      <c r="F16" s="95" t="s">
        <v>58</v>
      </c>
      <c r="G16" s="95" t="s">
        <v>59</v>
      </c>
      <c r="I16" s="94" t="s">
        <v>54</v>
      </c>
      <c r="J16" s="95" t="s">
        <v>55</v>
      </c>
      <c r="K16" s="95" t="s">
        <v>56</v>
      </c>
      <c r="L16" s="95" t="s">
        <v>57</v>
      </c>
      <c r="M16" s="95" t="s">
        <v>58</v>
      </c>
      <c r="N16" s="95" t="s">
        <v>59</v>
      </c>
    </row>
    <row r="17" spans="2:14" x14ac:dyDescent="0.3">
      <c r="B17" s="23" cm="1">
        <f t="array" ref="B17:B21">_xlfn.SEQUENCE(G8,,1)</f>
        <v>1</v>
      </c>
      <c r="C17" s="24">
        <f>E8</f>
        <v>800000</v>
      </c>
      <c r="D17" s="25" cm="1">
        <f t="array" ref="D17:D21">IPMT(F8,_xlfn.ANCHORARRAY(B17),G8,E8)*-D15</f>
        <v>80000</v>
      </c>
      <c r="E17" s="24" cm="1">
        <f t="array" ref="E17:E21">PPMT(F8,_xlfn.ANCHORARRAY(B17),G8,E8)*-E15</f>
        <v>131037.98463579631</v>
      </c>
      <c r="F17" s="24">
        <f>PMT($F$8,$G$8,$E$8)*-$F$15</f>
        <v>211037.98463579631</v>
      </c>
      <c r="G17" s="26">
        <f>C17-E17</f>
        <v>668962.01536420372</v>
      </c>
      <c r="I17" s="41" cm="1">
        <f t="array" ref="I17:I20">_xlfn.SEQUENCE(G10,,1)</f>
        <v>1</v>
      </c>
      <c r="J17" s="26">
        <f>E10</f>
        <v>500000</v>
      </c>
      <c r="K17" s="26" cm="1">
        <f t="array" ref="K17:K20">IPMT(F10,_xlfn.ANCHORARRAY(I17),G10,E10)*-1</f>
        <v>40000</v>
      </c>
      <c r="L17" s="26" cm="1">
        <f t="array" ref="L17:L20">PPMT(F10,_xlfn.ANCHORARRAY(I17),G10,J17)*-L15</f>
        <v>110960.40222701967</v>
      </c>
      <c r="M17" s="26">
        <f>PMT($F$10,$G$10,$E$10)*-$M$15</f>
        <v>150960.40222701966</v>
      </c>
      <c r="N17" s="26">
        <f>J17-L17</f>
        <v>389039.59777298034</v>
      </c>
    </row>
    <row r="18" spans="2:14" x14ac:dyDescent="0.3">
      <c r="B18" s="27">
        <v>2</v>
      </c>
      <c r="C18" s="28">
        <f>G17</f>
        <v>668962.01536420372</v>
      </c>
      <c r="D18" s="29">
        <v>66896.201536420369</v>
      </c>
      <c r="E18" s="28">
        <v>144141.78309937596</v>
      </c>
      <c r="F18" s="28">
        <f>PMT($F$8,$G$8,$E$8)*-$F$15</f>
        <v>211037.98463579631</v>
      </c>
      <c r="G18" s="30">
        <f>C18-E18</f>
        <v>524820.2322648277</v>
      </c>
      <c r="I18" s="31">
        <v>2</v>
      </c>
      <c r="J18" s="30">
        <f>N17</f>
        <v>389039.59777298034</v>
      </c>
      <c r="K18" s="30">
        <v>31123.16782183843</v>
      </c>
      <c r="L18" s="30">
        <v>119837.23440518124</v>
      </c>
      <c r="M18" s="30">
        <f>PMT($F$10,$G$10,$E$10)*-$M$15</f>
        <v>150960.40222701966</v>
      </c>
      <c r="N18" s="30">
        <f>J18-L18</f>
        <v>269202.36336779909</v>
      </c>
    </row>
    <row r="19" spans="2:14" x14ac:dyDescent="0.3">
      <c r="B19" s="27">
        <v>3</v>
      </c>
      <c r="C19" s="28">
        <f>G18</f>
        <v>524820.2322648277</v>
      </c>
      <c r="D19" s="29">
        <v>52482.023226482772</v>
      </c>
      <c r="E19" s="28">
        <v>158555.96140931355</v>
      </c>
      <c r="F19" s="28">
        <f>PMT($F$8,$G$8,$E$8)*-$F$15</f>
        <v>211037.98463579631</v>
      </c>
      <c r="G19" s="30">
        <f t="shared" ref="G19:G21" si="0">C19-E19</f>
        <v>366264.27085551416</v>
      </c>
      <c r="I19" s="31">
        <v>3</v>
      </c>
      <c r="J19" s="30">
        <f>N18</f>
        <v>269202.36336779909</v>
      </c>
      <c r="K19" s="30">
        <v>21536.189069423934</v>
      </c>
      <c r="L19" s="30">
        <v>129424.21315759573</v>
      </c>
      <c r="M19" s="30">
        <f>PMT($F$10,$G$10,$E$10)*-$M$15</f>
        <v>150960.40222701966</v>
      </c>
      <c r="N19" s="30">
        <f>J19-L19</f>
        <v>139778.15021020337</v>
      </c>
    </row>
    <row r="20" spans="2:14" x14ac:dyDescent="0.3">
      <c r="B20" s="27">
        <v>4</v>
      </c>
      <c r="C20" s="28">
        <f>G19</f>
        <v>366264.27085551416</v>
      </c>
      <c r="D20" s="29">
        <v>36626.427085551426</v>
      </c>
      <c r="E20" s="28">
        <v>174411.55755024491</v>
      </c>
      <c r="F20" s="28">
        <f>PMT($F$8,$G$8,$E$8)*-$F$15</f>
        <v>211037.98463579631</v>
      </c>
      <c r="G20" s="30">
        <f t="shared" si="0"/>
        <v>191852.71330526925</v>
      </c>
      <c r="I20" s="31">
        <v>4</v>
      </c>
      <c r="J20" s="30">
        <f>N19</f>
        <v>139778.15021020337</v>
      </c>
      <c r="K20" s="30">
        <v>11182.252016816272</v>
      </c>
      <c r="L20" s="30">
        <v>139778.1502102034</v>
      </c>
      <c r="M20" s="30">
        <f>PMT($F$10,$G$10,$E$10)*-$M$15</f>
        <v>150960.40222701966</v>
      </c>
      <c r="N20" s="99">
        <f>J20-L20</f>
        <v>0</v>
      </c>
    </row>
    <row r="21" spans="2:14" x14ac:dyDescent="0.3">
      <c r="B21" s="31">
        <v>5</v>
      </c>
      <c r="C21" s="30">
        <f>G20</f>
        <v>191852.71330526925</v>
      </c>
      <c r="D21" s="32">
        <v>19185.271330526935</v>
      </c>
      <c r="E21" s="30">
        <v>191852.71330526937</v>
      </c>
      <c r="F21" s="28">
        <f>PMT($F$8,$G$8,$E$8)*-$F$15</f>
        <v>211037.98463579631</v>
      </c>
      <c r="G21" s="99">
        <f t="shared" si="0"/>
        <v>0</v>
      </c>
      <c r="K21" s="64">
        <f>SUM(_xlfn.ANCHORARRAY(K17))</f>
        <v>103841.60890807865</v>
      </c>
    </row>
    <row r="22" spans="2:14" x14ac:dyDescent="0.3">
      <c r="D22" s="64">
        <f>SUM(_xlfn.ANCHORARRAY(D17))</f>
        <v>255189.92317898152</v>
      </c>
    </row>
    <row r="23" spans="2:14" x14ac:dyDescent="0.3">
      <c r="B23" s="43" t="s">
        <v>61</v>
      </c>
      <c r="C23" s="43" t="str">
        <f>B9</f>
        <v>L002</v>
      </c>
      <c r="I23" s="43" t="s">
        <v>61</v>
      </c>
      <c r="J23" s="43" t="str">
        <f>B11</f>
        <v>L004</v>
      </c>
    </row>
    <row r="24" spans="2:14" ht="15" thickBot="1" x14ac:dyDescent="0.35">
      <c r="D24" cm="1">
        <f t="array" ref="D24:G24">_xlfn.SEQUENCE(,4,1,0)</f>
        <v>1</v>
      </c>
      <c r="E24">
        <v>1</v>
      </c>
      <c r="F24">
        <v>1</v>
      </c>
      <c r="G24">
        <v>1</v>
      </c>
      <c r="K24" cm="1">
        <f t="array" ref="K24:N24">_xlfn.SEQUENCE(,4,1,0)</f>
        <v>1</v>
      </c>
      <c r="L24">
        <v>1</v>
      </c>
      <c r="M24">
        <v>1</v>
      </c>
      <c r="N24">
        <v>1</v>
      </c>
    </row>
    <row r="25" spans="2:14" ht="28.8" x14ac:dyDescent="0.3">
      <c r="B25" s="94" t="s">
        <v>54</v>
      </c>
      <c r="C25" s="95" t="s">
        <v>55</v>
      </c>
      <c r="D25" s="95" t="s">
        <v>56</v>
      </c>
      <c r="E25" s="95" t="s">
        <v>57</v>
      </c>
      <c r="F25" s="95" t="s">
        <v>58</v>
      </c>
      <c r="G25" s="95" t="s">
        <v>59</v>
      </c>
      <c r="I25" s="94" t="s">
        <v>54</v>
      </c>
      <c r="J25" s="95" t="s">
        <v>55</v>
      </c>
      <c r="K25" s="95" t="s">
        <v>56</v>
      </c>
      <c r="L25" s="95" t="s">
        <v>57</v>
      </c>
      <c r="M25" s="95" t="s">
        <v>58</v>
      </c>
      <c r="N25" s="95" t="s">
        <v>59</v>
      </c>
    </row>
    <row r="26" spans="2:14" x14ac:dyDescent="0.3">
      <c r="B26" s="23" cm="1">
        <f t="array" ref="B26:B32">_xlfn.SEQUENCE(G9,,1)</f>
        <v>1</v>
      </c>
      <c r="C26" s="24">
        <f>E9</f>
        <v>1200000</v>
      </c>
      <c r="D26" s="25" cm="1">
        <f t="array" ref="D26:D32">IPMT(F9,_xlfn.ANCHORARRAY(B26),G9,E9)*-D24</f>
        <v>144000</v>
      </c>
      <c r="E26" s="24" cm="1">
        <f t="array" ref="E26:E32">PPMT(F9,_xlfn.ANCHORARRAY(B26),G9,E9)*-E24</f>
        <v>118941.28308166905</v>
      </c>
      <c r="F26" s="24">
        <f t="shared" ref="F26:F32" si="1">PMT($F$9,$G$9,$E$9)*-$F$24</f>
        <v>262941.28308166907</v>
      </c>
      <c r="G26" s="26">
        <f>C26-E26</f>
        <v>1081058.7169183309</v>
      </c>
      <c r="I26" s="41" cm="1">
        <f t="array" ref="I26:I35">_xlfn.SEQUENCE(G11,,1)</f>
        <v>1</v>
      </c>
      <c r="J26" s="26">
        <f>E11</f>
        <v>1500000</v>
      </c>
      <c r="K26" s="26" cm="1">
        <f t="array" ref="K26:K35">IPMT(F11,_xlfn.ANCHORARRAY(I26),G11,E11)*-K24</f>
        <v>165000</v>
      </c>
      <c r="L26" s="26" cm="1">
        <f t="array" ref="L26:L35">PPMT(F11,_xlfn.ANCHORARRAY(I26),G11,E11)*-L24</f>
        <v>89702.140646235464</v>
      </c>
      <c r="M26" s="26">
        <f t="shared" ref="M26:M35" si="2">PMT($F$11,$G$11,$J$26)*-$M$24</f>
        <v>254702.14064623549</v>
      </c>
      <c r="N26" s="26">
        <f>J26-L26</f>
        <v>1410297.8593537644</v>
      </c>
    </row>
    <row r="27" spans="2:14" x14ac:dyDescent="0.3">
      <c r="B27" s="27">
        <v>2</v>
      </c>
      <c r="C27" s="28">
        <f t="shared" ref="C27:C32" si="3">G26</f>
        <v>1081058.7169183309</v>
      </c>
      <c r="D27" s="29">
        <v>129727.04603019975</v>
      </c>
      <c r="E27" s="28">
        <v>133214.2370514693</v>
      </c>
      <c r="F27" s="28">
        <f t="shared" si="1"/>
        <v>262941.28308166907</v>
      </c>
      <c r="G27" s="30">
        <f t="shared" ref="G27:G31" si="4">C27-E27</f>
        <v>947844.4798668616</v>
      </c>
      <c r="I27" s="31">
        <v>2</v>
      </c>
      <c r="J27" s="30">
        <f t="shared" ref="J27:J35" si="5">N26</f>
        <v>1410297.8593537644</v>
      </c>
      <c r="K27" s="30">
        <v>155132.76452891409</v>
      </c>
      <c r="L27" s="30">
        <v>99569.376117321386</v>
      </c>
      <c r="M27" s="30">
        <f t="shared" si="2"/>
        <v>254702.14064623549</v>
      </c>
      <c r="N27" s="30">
        <f t="shared" ref="N27:N35" si="6">J27-L27</f>
        <v>1310728.483236443</v>
      </c>
    </row>
    <row r="28" spans="2:14" x14ac:dyDescent="0.3">
      <c r="B28" s="27">
        <v>3</v>
      </c>
      <c r="C28" s="28">
        <f t="shared" si="3"/>
        <v>947844.4798668616</v>
      </c>
      <c r="D28" s="29">
        <v>113741.33758402342</v>
      </c>
      <c r="E28" s="28">
        <v>149199.94549764562</v>
      </c>
      <c r="F28" s="28">
        <f t="shared" si="1"/>
        <v>262941.28308166907</v>
      </c>
      <c r="G28" s="30">
        <f t="shared" si="4"/>
        <v>798644.53436921595</v>
      </c>
      <c r="I28" s="31">
        <v>3</v>
      </c>
      <c r="J28" s="30">
        <f t="shared" si="5"/>
        <v>1310728.483236443</v>
      </c>
      <c r="K28" s="30">
        <v>144180.13315600876</v>
      </c>
      <c r="L28" s="30">
        <v>110522.00749022674</v>
      </c>
      <c r="M28" s="30">
        <f t="shared" si="2"/>
        <v>254702.14064623549</v>
      </c>
      <c r="N28" s="30">
        <f t="shared" si="6"/>
        <v>1200206.4757462163</v>
      </c>
    </row>
    <row r="29" spans="2:14" x14ac:dyDescent="0.3">
      <c r="B29" s="27">
        <v>4</v>
      </c>
      <c r="C29" s="28">
        <f t="shared" si="3"/>
        <v>798644.53436921595</v>
      </c>
      <c r="D29" s="29">
        <v>95837.344124305935</v>
      </c>
      <c r="E29" s="28">
        <v>167103.93895736311</v>
      </c>
      <c r="F29" s="28">
        <f t="shared" si="1"/>
        <v>262941.28308166907</v>
      </c>
      <c r="G29" s="30">
        <f t="shared" si="4"/>
        <v>631540.59541185282</v>
      </c>
      <c r="I29" s="31">
        <v>4</v>
      </c>
      <c r="J29" s="30">
        <f t="shared" si="5"/>
        <v>1200206.4757462163</v>
      </c>
      <c r="K29" s="30">
        <v>132022.71233208381</v>
      </c>
      <c r="L29" s="30">
        <v>122679.42831415166</v>
      </c>
      <c r="M29" s="30">
        <f t="shared" si="2"/>
        <v>254702.14064623549</v>
      </c>
      <c r="N29" s="30">
        <f t="shared" si="6"/>
        <v>1077527.0474320645</v>
      </c>
    </row>
    <row r="30" spans="2:14" x14ac:dyDescent="0.3">
      <c r="B30" s="31">
        <v>5</v>
      </c>
      <c r="C30" s="30">
        <f t="shared" si="3"/>
        <v>631540.59541185282</v>
      </c>
      <c r="D30" s="32">
        <v>75784.871449422382</v>
      </c>
      <c r="E30" s="30">
        <v>187156.41163224669</v>
      </c>
      <c r="F30" s="28">
        <f t="shared" si="1"/>
        <v>262941.28308166907</v>
      </c>
      <c r="G30" s="30">
        <f t="shared" si="4"/>
        <v>444384.18377960613</v>
      </c>
      <c r="I30" s="31">
        <v>5</v>
      </c>
      <c r="J30" s="30">
        <f t="shared" si="5"/>
        <v>1077527.0474320645</v>
      </c>
      <c r="K30" s="30">
        <v>118527.97521752713</v>
      </c>
      <c r="L30" s="30">
        <v>136174.16542870839</v>
      </c>
      <c r="M30" s="30">
        <f t="shared" si="2"/>
        <v>254702.14064623549</v>
      </c>
      <c r="N30" s="30">
        <f t="shared" si="6"/>
        <v>941352.88200335612</v>
      </c>
    </row>
    <row r="31" spans="2:14" x14ac:dyDescent="0.3">
      <c r="B31" s="31">
        <v>6</v>
      </c>
      <c r="C31" s="30">
        <f t="shared" si="3"/>
        <v>444384.18377960613</v>
      </c>
      <c r="D31" s="30">
        <v>53326.102053552779</v>
      </c>
      <c r="E31" s="30">
        <v>209615.18102811632</v>
      </c>
      <c r="F31" s="28">
        <f t="shared" si="1"/>
        <v>262941.28308166907</v>
      </c>
      <c r="G31" s="30">
        <f t="shared" si="4"/>
        <v>234769.00275148981</v>
      </c>
      <c r="I31" s="31">
        <v>6</v>
      </c>
      <c r="J31" s="30">
        <f t="shared" si="5"/>
        <v>941352.88200335612</v>
      </c>
      <c r="K31" s="30">
        <v>103548.8170203692</v>
      </c>
      <c r="L31" s="30">
        <v>151153.32362586627</v>
      </c>
      <c r="M31" s="30">
        <f t="shared" si="2"/>
        <v>254702.14064623549</v>
      </c>
      <c r="N31" s="30">
        <f t="shared" si="6"/>
        <v>790199.55837748991</v>
      </c>
    </row>
    <row r="32" spans="2:14" x14ac:dyDescent="0.3">
      <c r="B32" s="31">
        <v>7</v>
      </c>
      <c r="C32" s="30">
        <f t="shared" si="3"/>
        <v>234769.00275148981</v>
      </c>
      <c r="D32" s="30">
        <v>28172.28033017883</v>
      </c>
      <c r="E32" s="30">
        <v>234769.00275149025</v>
      </c>
      <c r="F32" s="28">
        <f t="shared" si="1"/>
        <v>262941.28308166907</v>
      </c>
      <c r="G32" s="98">
        <f>C32-E32</f>
        <v>-4.3655745685100555E-10</v>
      </c>
      <c r="I32" s="31">
        <v>7</v>
      </c>
      <c r="J32" s="30">
        <f t="shared" si="5"/>
        <v>790199.55837748991</v>
      </c>
      <c r="K32" s="30">
        <v>86921.951421523903</v>
      </c>
      <c r="L32" s="30">
        <v>167780.18922471156</v>
      </c>
      <c r="M32" s="30">
        <f t="shared" si="2"/>
        <v>254702.14064623549</v>
      </c>
      <c r="N32" s="30">
        <f t="shared" si="6"/>
        <v>622419.36915277829</v>
      </c>
    </row>
    <row r="33" spans="2:14" x14ac:dyDescent="0.3">
      <c r="D33" s="64">
        <f>SUM(_xlfn.ANCHORARRAY(D26))</f>
        <v>640588.98157168308</v>
      </c>
      <c r="I33" s="31">
        <v>8</v>
      </c>
      <c r="J33" s="30">
        <f t="shared" si="5"/>
        <v>622419.36915277829</v>
      </c>
      <c r="K33" s="30">
        <v>68466.130606805629</v>
      </c>
      <c r="L33" s="30">
        <v>186236.01003942985</v>
      </c>
      <c r="M33" s="30">
        <f t="shared" si="2"/>
        <v>254702.14064623549</v>
      </c>
      <c r="N33" s="30">
        <f t="shared" si="6"/>
        <v>436183.35911334842</v>
      </c>
    </row>
    <row r="34" spans="2:14" x14ac:dyDescent="0.3">
      <c r="I34" s="31">
        <v>9</v>
      </c>
      <c r="J34" s="30">
        <f t="shared" si="5"/>
        <v>436183.35911334842</v>
      </c>
      <c r="K34" s="30">
        <v>47980.16950246835</v>
      </c>
      <c r="L34" s="30">
        <v>206721.97114376709</v>
      </c>
      <c r="M34" s="30">
        <f t="shared" si="2"/>
        <v>254702.14064623549</v>
      </c>
      <c r="N34" s="30">
        <f t="shared" si="6"/>
        <v>229461.38796958132</v>
      </c>
    </row>
    <row r="35" spans="2:14" x14ac:dyDescent="0.3">
      <c r="I35" s="31">
        <v>10</v>
      </c>
      <c r="J35" s="30">
        <f t="shared" si="5"/>
        <v>229461.38796958132</v>
      </c>
      <c r="K35" s="30">
        <v>25240.752676653963</v>
      </c>
      <c r="L35" s="30">
        <v>229461.38796958153</v>
      </c>
      <c r="M35" s="30">
        <f t="shared" si="2"/>
        <v>254702.14064623549</v>
      </c>
      <c r="N35" s="99">
        <f t="shared" si="6"/>
        <v>0</v>
      </c>
    </row>
    <row r="36" spans="2:14" x14ac:dyDescent="0.3">
      <c r="K36" s="64">
        <f>SUM(_xlfn.ANCHORARRAY(K26))</f>
        <v>1047021.4064623549</v>
      </c>
    </row>
    <row r="41" spans="2:14" ht="15" thickBot="1" x14ac:dyDescent="0.35">
      <c r="C41" cm="1">
        <f t="array" ref="C41:E41">_xlfn.SEQUENCE(,3,1,0)</f>
        <v>1</v>
      </c>
      <c r="D41">
        <v>1</v>
      </c>
      <c r="E41">
        <v>1</v>
      </c>
    </row>
    <row r="42" spans="2:14" ht="28.8" x14ac:dyDescent="0.3">
      <c r="B42" s="96" t="s">
        <v>34</v>
      </c>
      <c r="C42" s="97" t="s">
        <v>63</v>
      </c>
      <c r="D42" s="97" t="s">
        <v>64</v>
      </c>
      <c r="E42" s="97" t="s">
        <v>65</v>
      </c>
    </row>
    <row r="43" spans="2:14" x14ac:dyDescent="0.3">
      <c r="B43" s="31" t="str">
        <f>B8</f>
        <v>L001</v>
      </c>
      <c r="C43" s="30">
        <f>CUMIPMT(F8,G8,E8,B17,B21,0)*-C41</f>
        <v>255189.92317898152</v>
      </c>
      <c r="D43" s="30">
        <f>CUMPRINC(F8,G8,E8,B17,B21,0)*-D41</f>
        <v>800000</v>
      </c>
      <c r="E43" s="30">
        <f>C43+D43</f>
        <v>1055189.9231789815</v>
      </c>
    </row>
    <row r="44" spans="2:14" x14ac:dyDescent="0.3">
      <c r="B44" s="31" t="str">
        <f>B9</f>
        <v>L002</v>
      </c>
      <c r="C44" s="30">
        <f>CUMIPMT(F9,G9,E9,B26,B32,0)*-C41</f>
        <v>640588.98157168319</v>
      </c>
      <c r="D44" s="30">
        <f>CUMPRINC(F9,G9,E9,B26,B32,0)*-D41</f>
        <v>1200000.0000000002</v>
      </c>
      <c r="E44" s="30">
        <f>C44+D44</f>
        <v>1840588.9815716834</v>
      </c>
    </row>
    <row r="45" spans="2:14" x14ac:dyDescent="0.3">
      <c r="B45" s="31" t="str">
        <f>B10</f>
        <v>L003</v>
      </c>
      <c r="C45" s="30">
        <f>CUMIPMT(F10,G10,E10,I17,I20,0)*-C41</f>
        <v>103841.60890807863</v>
      </c>
      <c r="D45" s="30">
        <f>CUMPRINC(F10,G10,E10,I17,I20,0)*-D41</f>
        <v>500000</v>
      </c>
      <c r="E45" s="30">
        <f>SUM(C45:D45)</f>
        <v>603841.60890807863</v>
      </c>
    </row>
    <row r="46" spans="2:14" x14ac:dyDescent="0.3">
      <c r="B46" s="31" t="str">
        <f>B11</f>
        <v>L004</v>
      </c>
      <c r="C46" s="30">
        <f>CUMIPMT(F11,G11,E11,1,10,0)*-C41</f>
        <v>1047021.4064623551</v>
      </c>
      <c r="D46" s="30">
        <f>CUMPRINC(F11,G11,E11,1,10,0)*-D41</f>
        <v>1500000</v>
      </c>
      <c r="E46" s="30">
        <f>SUM(C46:D46)</f>
        <v>2547021.4064623551</v>
      </c>
    </row>
    <row r="52" spans="2:6" ht="15" thickBot="1" x14ac:dyDescent="0.35"/>
    <row r="53" spans="2:6" ht="18.600000000000001" thickBot="1" x14ac:dyDescent="0.35">
      <c r="B53" s="197" t="s">
        <v>89</v>
      </c>
      <c r="C53" s="198"/>
    </row>
    <row r="54" spans="2:6" ht="15" thickBot="1" x14ac:dyDescent="0.35">
      <c r="C54" s="22"/>
    </row>
    <row r="55" spans="2:6" x14ac:dyDescent="0.3">
      <c r="B55" s="100" t="s">
        <v>91</v>
      </c>
      <c r="C55" s="101" t="s">
        <v>92</v>
      </c>
      <c r="E55" s="102" t="s">
        <v>97</v>
      </c>
      <c r="F55" s="103" t="s">
        <v>92</v>
      </c>
    </row>
    <row r="56" spans="2:6" x14ac:dyDescent="0.3">
      <c r="B56" s="45" t="s">
        <v>60</v>
      </c>
      <c r="C56" s="46" t="s">
        <v>93</v>
      </c>
      <c r="E56" s="48" t="s">
        <v>98</v>
      </c>
      <c r="F56" s="49">
        <f>C57</f>
        <v>800000</v>
      </c>
    </row>
    <row r="57" spans="2:6" x14ac:dyDescent="0.3">
      <c r="B57" s="45" t="s">
        <v>94</v>
      </c>
      <c r="C57" s="80">
        <v>800000</v>
      </c>
      <c r="E57" s="48" t="s">
        <v>96</v>
      </c>
      <c r="F57" s="91">
        <f>C60</f>
        <v>3</v>
      </c>
    </row>
    <row r="58" spans="2:6" x14ac:dyDescent="0.3">
      <c r="B58" s="45" t="s">
        <v>71</v>
      </c>
      <c r="C58" s="47">
        <f>F8</f>
        <v>0.1</v>
      </c>
      <c r="E58" s="48" t="s">
        <v>75</v>
      </c>
      <c r="F58" s="49">
        <f>G18</f>
        <v>524820.2322648277</v>
      </c>
    </row>
    <row r="59" spans="2:6" x14ac:dyDescent="0.3">
      <c r="B59" s="45" t="s">
        <v>95</v>
      </c>
      <c r="C59" s="46">
        <f>G11</f>
        <v>10</v>
      </c>
      <c r="E59" s="48" t="s">
        <v>99</v>
      </c>
      <c r="F59" s="49">
        <f>SUM(_xlfn.ANCHORARRAY(D17))</f>
        <v>255189.92317898152</v>
      </c>
    </row>
    <row r="60" spans="2:6" x14ac:dyDescent="0.3">
      <c r="B60" s="45" t="s">
        <v>96</v>
      </c>
      <c r="C60" s="81">
        <v>3</v>
      </c>
      <c r="E60" s="48" t="s">
        <v>100</v>
      </c>
      <c r="F60" s="49">
        <f>SUM(D20:D21)</f>
        <v>55811.698416078361</v>
      </c>
    </row>
    <row r="61" spans="2:6" x14ac:dyDescent="0.3">
      <c r="B61" s="173" t="s">
        <v>72</v>
      </c>
      <c r="C61" s="174">
        <v>0.02</v>
      </c>
      <c r="E61" s="48" t="s">
        <v>83</v>
      </c>
      <c r="F61" s="49">
        <f>F58*C61</f>
        <v>10496.404645296554</v>
      </c>
    </row>
    <row r="62" spans="2:6" x14ac:dyDescent="0.3">
      <c r="E62" s="50" t="s">
        <v>101</v>
      </c>
      <c r="F62" s="51">
        <f>F60-F61</f>
        <v>45315.293770781806</v>
      </c>
    </row>
    <row r="65" spans="2:7" x14ac:dyDescent="0.3">
      <c r="B65" s="211" t="s">
        <v>203</v>
      </c>
      <c r="C65" s="211"/>
      <c r="D65" s="211"/>
      <c r="E65" s="211"/>
      <c r="F65" s="211"/>
      <c r="G65" s="211"/>
    </row>
    <row r="68" spans="2:7" ht="30" customHeight="1" x14ac:dyDescent="0.3"/>
    <row r="81" ht="31.2" customHeight="1" x14ac:dyDescent="0.3"/>
    <row r="93" ht="13.2" customHeight="1" x14ac:dyDescent="0.3"/>
    <row r="94" ht="18.600000000000001" customHeight="1" x14ac:dyDescent="0.3"/>
    <row r="109" ht="28.8" customHeight="1" x14ac:dyDescent="0.3"/>
    <row r="118" spans="2:8" x14ac:dyDescent="0.3">
      <c r="B118" s="215"/>
      <c r="C118" s="215"/>
      <c r="D118" s="215"/>
      <c r="E118" s="215"/>
      <c r="F118" s="215"/>
      <c r="G118" s="215"/>
      <c r="H118" s="215"/>
    </row>
    <row r="119" spans="2:8" ht="21" x14ac:dyDescent="0.4">
      <c r="B119" s="216"/>
      <c r="C119" s="216"/>
      <c r="D119" s="216"/>
      <c r="E119" s="216"/>
      <c r="F119" s="216"/>
      <c r="G119" s="216"/>
      <c r="H119" s="216"/>
    </row>
    <row r="120" spans="2:8" x14ac:dyDescent="0.3">
      <c r="B120" s="215"/>
      <c r="C120" s="215"/>
      <c r="D120" s="215"/>
      <c r="E120" s="215"/>
      <c r="F120" s="215"/>
      <c r="G120" s="215"/>
      <c r="H120" s="215"/>
    </row>
    <row r="121" spans="2:8" x14ac:dyDescent="0.3">
      <c r="B121" s="217"/>
      <c r="C121" s="218"/>
      <c r="D121" s="215"/>
      <c r="E121" s="215"/>
      <c r="F121" s="215"/>
      <c r="G121" s="215"/>
      <c r="H121" s="215"/>
    </row>
    <row r="122" spans="2:8" x14ac:dyDescent="0.3">
      <c r="B122" s="214"/>
      <c r="C122" s="219"/>
      <c r="D122" s="215"/>
      <c r="E122" s="215"/>
      <c r="F122" s="215"/>
      <c r="G122" s="215"/>
      <c r="H122" s="215"/>
    </row>
    <row r="123" spans="2:8" x14ac:dyDescent="0.3">
      <c r="B123" s="214"/>
      <c r="C123" s="220"/>
      <c r="D123" s="215"/>
      <c r="E123" s="215"/>
      <c r="F123" s="215"/>
      <c r="G123" s="215"/>
      <c r="H123" s="215"/>
    </row>
    <row r="124" spans="2:8" x14ac:dyDescent="0.3">
      <c r="B124" s="214"/>
      <c r="C124" s="221"/>
      <c r="D124" s="215"/>
      <c r="E124" s="215"/>
      <c r="F124" s="215"/>
      <c r="G124" s="215"/>
      <c r="H124" s="215"/>
    </row>
    <row r="125" spans="2:8" x14ac:dyDescent="0.3">
      <c r="B125" s="214"/>
      <c r="C125" s="222"/>
      <c r="D125" s="215"/>
      <c r="E125" s="215"/>
      <c r="F125" s="215"/>
      <c r="G125" s="215"/>
      <c r="H125" s="215"/>
    </row>
    <row r="126" spans="2:8" x14ac:dyDescent="0.3">
      <c r="B126" s="215"/>
      <c r="C126" s="215"/>
      <c r="D126" s="215"/>
      <c r="E126" s="215"/>
      <c r="F126" s="215"/>
      <c r="G126" s="215"/>
      <c r="H126" s="215"/>
    </row>
    <row r="127" spans="2:8" x14ac:dyDescent="0.3">
      <c r="B127" s="215"/>
      <c r="C127" s="215"/>
      <c r="D127" s="215"/>
      <c r="E127" s="215"/>
      <c r="F127" s="215"/>
      <c r="G127" s="215"/>
      <c r="H127" s="215"/>
    </row>
    <row r="128" spans="2:8" x14ac:dyDescent="0.3">
      <c r="B128" s="217"/>
      <c r="C128" s="218"/>
      <c r="D128" s="218"/>
      <c r="E128" s="218"/>
      <c r="F128" s="218"/>
      <c r="G128" s="218"/>
      <c r="H128" s="215"/>
    </row>
    <row r="129" spans="2:8" x14ac:dyDescent="0.3">
      <c r="B129" s="214"/>
      <c r="C129" s="223"/>
      <c r="D129" s="223"/>
      <c r="E129" s="223"/>
      <c r="F129" s="223"/>
      <c r="G129" s="223"/>
      <c r="H129" s="215"/>
    </row>
    <row r="130" spans="2:8" x14ac:dyDescent="0.3">
      <c r="B130" s="214"/>
      <c r="C130" s="223"/>
      <c r="D130" s="223"/>
      <c r="E130" s="223"/>
      <c r="F130" s="223"/>
      <c r="G130" s="223"/>
      <c r="H130" s="215"/>
    </row>
    <row r="131" spans="2:8" x14ac:dyDescent="0.3">
      <c r="B131" s="214"/>
      <c r="C131" s="223"/>
      <c r="D131" s="223"/>
      <c r="E131" s="223"/>
      <c r="F131" s="223"/>
      <c r="G131" s="223"/>
      <c r="H131" s="215"/>
    </row>
    <row r="132" spans="2:8" x14ac:dyDescent="0.3">
      <c r="B132" s="214"/>
      <c r="C132" s="223"/>
      <c r="D132" s="223"/>
      <c r="E132" s="223"/>
      <c r="F132" s="223"/>
      <c r="G132" s="223"/>
      <c r="H132" s="215"/>
    </row>
    <row r="133" spans="2:8" x14ac:dyDescent="0.3">
      <c r="B133" s="214"/>
      <c r="C133" s="223"/>
      <c r="D133" s="223"/>
      <c r="E133" s="223"/>
      <c r="F133" s="223"/>
      <c r="G133" s="223"/>
      <c r="H133" s="215"/>
    </row>
    <row r="164" ht="53.4" customHeight="1" x14ac:dyDescent="0.3"/>
    <row r="177" spans="9:9" x14ac:dyDescent="0.3">
      <c r="I177" s="124"/>
    </row>
    <row r="178" spans="9:9" x14ac:dyDescent="0.3">
      <c r="I178" s="123"/>
    </row>
    <row r="179" spans="9:9" x14ac:dyDescent="0.3">
      <c r="I179" s="123"/>
    </row>
    <row r="180" spans="9:9" x14ac:dyDescent="0.3">
      <c r="I180" s="123"/>
    </row>
    <row r="181" spans="9:9" x14ac:dyDescent="0.3">
      <c r="I181" s="123"/>
    </row>
    <row r="182" spans="9:9" x14ac:dyDescent="0.3">
      <c r="I182" s="123"/>
    </row>
    <row r="211" ht="12.6" customHeight="1" x14ac:dyDescent="0.3"/>
  </sheetData>
  <mergeCells count="4">
    <mergeCell ref="B3:H3"/>
    <mergeCell ref="B53:C53"/>
    <mergeCell ref="B65:G65"/>
    <mergeCell ref="B119:H119"/>
  </mergeCells>
  <pageMargins left="0" right="0.78740157480314965" top="7.874015748031496E-2" bottom="0.59055118110236215" header="0.31496062992125984" footer="0.39370078740157483"/>
  <pageSetup paperSize="122" orientation="landscape" r:id="rId1"/>
  <rowBreaks count="1" manualBreakCount="1">
    <brk id="8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C397-901F-40A4-80C3-89A43BEC142C}">
  <dimension ref="B1:L14"/>
  <sheetViews>
    <sheetView showGridLines="0" workbookViewId="0">
      <selection activeCell="J17" sqref="J17"/>
    </sheetView>
  </sheetViews>
  <sheetFormatPr defaultRowHeight="14.4" x14ac:dyDescent="0.3"/>
  <cols>
    <col min="1" max="1" width="4" customWidth="1"/>
    <col min="2" max="2" width="12.44140625" customWidth="1"/>
    <col min="3" max="3" width="15.5546875" customWidth="1"/>
    <col min="4" max="4" width="16.5546875" customWidth="1"/>
    <col min="6" max="6" width="17.21875" customWidth="1"/>
    <col min="7" max="7" width="13.88671875" customWidth="1"/>
    <col min="8" max="8" width="14.5546875" customWidth="1"/>
    <col min="10" max="10" width="22.88671875" customWidth="1"/>
    <col min="11" max="11" width="19" customWidth="1"/>
    <col min="12" max="12" width="17.44140625" customWidth="1"/>
  </cols>
  <sheetData>
    <row r="1" spans="2:12" ht="15" thickBot="1" x14ac:dyDescent="0.35"/>
    <row r="2" spans="2:12" ht="21.6" thickBot="1" x14ac:dyDescent="0.45">
      <c r="B2" s="188" t="s">
        <v>226</v>
      </c>
      <c r="C2" s="189"/>
      <c r="D2" s="189"/>
      <c r="E2" s="189"/>
      <c r="F2" s="189"/>
      <c r="G2" s="189"/>
      <c r="H2" s="190"/>
    </row>
    <row r="4" spans="2:12" ht="15" thickBot="1" x14ac:dyDescent="0.35">
      <c r="B4" s="116" t="s">
        <v>54</v>
      </c>
      <c r="C4" s="117" t="s">
        <v>227</v>
      </c>
      <c r="D4" s="117" t="s">
        <v>228</v>
      </c>
      <c r="J4" s="118" t="s">
        <v>102</v>
      </c>
      <c r="K4" s="175" t="s">
        <v>103</v>
      </c>
      <c r="L4" s="176" t="s">
        <v>104</v>
      </c>
    </row>
    <row r="5" spans="2:12" x14ac:dyDescent="0.3">
      <c r="B5" s="82">
        <v>0</v>
      </c>
      <c r="C5" s="44">
        <f>-50</f>
        <v>-50</v>
      </c>
      <c r="D5" s="44">
        <f>-50</f>
        <v>-50</v>
      </c>
      <c r="F5" s="106" t="s">
        <v>91</v>
      </c>
      <c r="G5" s="107" t="s">
        <v>103</v>
      </c>
      <c r="H5" s="107" t="s">
        <v>104</v>
      </c>
      <c r="J5" s="57" t="s">
        <v>105</v>
      </c>
      <c r="K5" s="55">
        <f>PV(G7,B10,,C5,0)</f>
        <v>31.046066152957749</v>
      </c>
      <c r="L5" s="55">
        <f>PV(H7,B10,,D5,0)</f>
        <v>31.046066152957749</v>
      </c>
    </row>
    <row r="6" spans="2:12" x14ac:dyDescent="0.3">
      <c r="B6" s="82">
        <v>1</v>
      </c>
      <c r="C6" s="84">
        <v>18</v>
      </c>
      <c r="D6" s="84">
        <v>12</v>
      </c>
      <c r="F6" s="27" t="s">
        <v>112</v>
      </c>
      <c r="G6" s="89">
        <v>50</v>
      </c>
      <c r="H6" s="89">
        <v>50</v>
      </c>
      <c r="J6" s="57" t="s">
        <v>106</v>
      </c>
      <c r="K6" s="53">
        <f>FV(G7,$B$10,,C5,0)</f>
        <v>80.525500000000022</v>
      </c>
      <c r="L6" s="58">
        <f>FV(H7,$B$10,,D5,0)</f>
        <v>80.525500000000022</v>
      </c>
    </row>
    <row r="7" spans="2:12" ht="28.8" x14ac:dyDescent="0.3">
      <c r="B7" s="82">
        <v>2</v>
      </c>
      <c r="C7" s="84">
        <v>20</v>
      </c>
      <c r="D7" s="84">
        <v>15</v>
      </c>
      <c r="F7" s="27" t="s">
        <v>113</v>
      </c>
      <c r="G7" s="90">
        <v>0.1</v>
      </c>
      <c r="H7" s="90">
        <v>0.1</v>
      </c>
      <c r="J7" s="57" t="s">
        <v>107</v>
      </c>
      <c r="K7" s="54">
        <f>NPV(G7,C5:C10)</f>
        <v>30.802382757353513</v>
      </c>
      <c r="L7" s="58">
        <f>NPV(H7,D5:D10)</f>
        <v>16.363365416149918</v>
      </c>
    </row>
    <row r="8" spans="2:12" ht="28.8" x14ac:dyDescent="0.3">
      <c r="B8" s="82">
        <v>3</v>
      </c>
      <c r="C8" s="84">
        <v>22</v>
      </c>
      <c r="D8" s="84">
        <v>18</v>
      </c>
      <c r="F8" s="120" t="s">
        <v>111</v>
      </c>
      <c r="G8" s="121">
        <v>0.12</v>
      </c>
      <c r="H8" s="121">
        <v>0.12</v>
      </c>
      <c r="J8" s="57" t="s">
        <v>108</v>
      </c>
      <c r="K8" s="56">
        <f>IRR(C5:C10,G7)</f>
        <v>0.31902745897970708</v>
      </c>
      <c r="L8" s="59">
        <f>IRR(D5:D10,H7)</f>
        <v>0.21490286722871565</v>
      </c>
    </row>
    <row r="9" spans="2:12" x14ac:dyDescent="0.3">
      <c r="B9" s="82">
        <v>4</v>
      </c>
      <c r="C9" s="84">
        <v>25</v>
      </c>
      <c r="D9" s="84">
        <v>22</v>
      </c>
      <c r="J9" s="57" t="s">
        <v>109</v>
      </c>
      <c r="K9" s="56">
        <f>MIRR(C5:C10,G7,G8)</f>
        <v>0.22869251497807053</v>
      </c>
      <c r="L9" s="60">
        <f>MIRR(D5:D10,H7,H8)</f>
        <v>0.17748767550213551</v>
      </c>
    </row>
    <row r="10" spans="2:12" ht="28.8" x14ac:dyDescent="0.3">
      <c r="B10" s="82">
        <v>5</v>
      </c>
      <c r="C10" s="84">
        <v>28</v>
      </c>
      <c r="D10" s="84">
        <v>26</v>
      </c>
      <c r="J10" s="61" t="s">
        <v>110</v>
      </c>
      <c r="K10" s="62">
        <f>_xlfn.RRI($B$10,G6,C11)</f>
        <v>0.17712257254562624</v>
      </c>
      <c r="L10" s="63">
        <f>_xlfn.RRI($B$10,H6,D11)</f>
        <v>0.13214639717455645</v>
      </c>
    </row>
    <row r="11" spans="2:12" x14ac:dyDescent="0.3">
      <c r="B11" s="113"/>
      <c r="C11" s="110">
        <f>SUM(C6:C10)</f>
        <v>113</v>
      </c>
      <c r="D11" s="110">
        <f>SUM(D6:D10)</f>
        <v>93</v>
      </c>
    </row>
    <row r="12" spans="2:12" x14ac:dyDescent="0.3">
      <c r="B12" s="5"/>
      <c r="C12" s="52"/>
    </row>
    <row r="14" spans="2:12" ht="36.6" customHeight="1" x14ac:dyDescent="0.3">
      <c r="B14" s="199" t="s">
        <v>122</v>
      </c>
      <c r="C14" s="199"/>
      <c r="D14" s="199"/>
      <c r="E14" s="199"/>
      <c r="F14" s="199"/>
      <c r="G14" s="199"/>
      <c r="H14" s="199"/>
      <c r="I14" s="199"/>
    </row>
  </sheetData>
  <mergeCells count="2">
    <mergeCell ref="B14:I14"/>
    <mergeCell ref="B2:H2"/>
  </mergeCells>
  <conditionalFormatting sqref="K10:L1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DF4A-3837-4971-AB5F-0FDE2555DE60}">
  <dimension ref="B2:I50"/>
  <sheetViews>
    <sheetView showGridLines="0" workbookViewId="0">
      <selection activeCell="E46" sqref="E46"/>
    </sheetView>
  </sheetViews>
  <sheetFormatPr defaultRowHeight="14.4" x14ac:dyDescent="0.3"/>
  <cols>
    <col min="1" max="1" width="2.6640625" customWidth="1"/>
    <col min="2" max="8" width="15.77734375" customWidth="1"/>
    <col min="9" max="9" width="10.33203125" bestFit="1" customWidth="1"/>
  </cols>
  <sheetData>
    <row r="2" spans="2:9" ht="15" thickBot="1" x14ac:dyDescent="0.35"/>
    <row r="3" spans="2:9" ht="21.6" thickBot="1" x14ac:dyDescent="0.45">
      <c r="B3" s="188" t="s">
        <v>114</v>
      </c>
      <c r="C3" s="189"/>
      <c r="D3" s="189"/>
      <c r="E3" s="189"/>
      <c r="F3" s="189"/>
      <c r="G3" s="189"/>
      <c r="H3" s="190"/>
    </row>
    <row r="4" spans="2:9" ht="15" thickBot="1" x14ac:dyDescent="0.35"/>
    <row r="5" spans="2:9" x14ac:dyDescent="0.3">
      <c r="B5" s="65" t="s">
        <v>115</v>
      </c>
      <c r="C5" s="66" t="s">
        <v>116</v>
      </c>
      <c r="D5" s="66" t="s">
        <v>117</v>
      </c>
      <c r="E5" s="66" t="s">
        <v>118</v>
      </c>
    </row>
    <row r="6" spans="2:9" x14ac:dyDescent="0.3">
      <c r="B6" s="27" t="s">
        <v>119</v>
      </c>
      <c r="C6" s="85">
        <v>2500000</v>
      </c>
      <c r="D6" s="84">
        <v>6</v>
      </c>
      <c r="E6" s="85">
        <v>100000</v>
      </c>
    </row>
    <row r="7" spans="2:9" x14ac:dyDescent="0.3">
      <c r="B7" s="27" t="s">
        <v>120</v>
      </c>
      <c r="C7" s="85">
        <v>4000000</v>
      </c>
      <c r="D7" s="84">
        <v>5</v>
      </c>
      <c r="E7" s="85">
        <v>200000</v>
      </c>
    </row>
    <row r="8" spans="2:9" x14ac:dyDescent="0.3">
      <c r="B8" s="67" t="s">
        <v>121</v>
      </c>
      <c r="C8" s="86">
        <v>120000</v>
      </c>
      <c r="D8" s="87">
        <v>4</v>
      </c>
      <c r="E8" s="86">
        <v>10000</v>
      </c>
    </row>
    <row r="11" spans="2:9" x14ac:dyDescent="0.3">
      <c r="B11" s="193" t="s">
        <v>125</v>
      </c>
      <c r="C11" s="193"/>
    </row>
    <row r="12" spans="2:9" x14ac:dyDescent="0.3">
      <c r="C12" cm="1">
        <f t="array" ref="C12:H12">_xlfn.SEQUENCE(,D6,1,0)</f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2:9" x14ac:dyDescent="0.3">
      <c r="B13" s="105" t="s">
        <v>123</v>
      </c>
      <c r="C13" s="105">
        <v>2026</v>
      </c>
      <c r="D13" s="105">
        <f>C13+1</f>
        <v>2027</v>
      </c>
      <c r="E13" s="105">
        <f>D13+1</f>
        <v>2028</v>
      </c>
      <c r="F13" s="105">
        <f>E13+1</f>
        <v>2029</v>
      </c>
      <c r="G13" s="105">
        <f>F13+1</f>
        <v>2030</v>
      </c>
      <c r="H13" s="105">
        <f>G13+1</f>
        <v>2031</v>
      </c>
    </row>
    <row r="14" spans="2:9" x14ac:dyDescent="0.3">
      <c r="B14" s="27" t="s">
        <v>119</v>
      </c>
      <c r="C14" s="30" cm="1">
        <f t="array" ref="C14:H14">SLN(C6,E6,D6)*_xlfn.ANCHORARRAY(C12)</f>
        <v>400000</v>
      </c>
      <c r="D14" s="30">
        <v>400000</v>
      </c>
      <c r="E14" s="30">
        <v>400000</v>
      </c>
      <c r="F14" s="30">
        <v>400000</v>
      </c>
      <c r="G14" s="30">
        <v>400000</v>
      </c>
      <c r="H14" s="30">
        <v>400000</v>
      </c>
      <c r="I14" s="122">
        <f>SUM(_xlfn.ANCHORARRAY(C14))</f>
        <v>2400000</v>
      </c>
    </row>
    <row r="15" spans="2:9" x14ac:dyDescent="0.3">
      <c r="B15" s="27" t="s">
        <v>120</v>
      </c>
      <c r="C15" s="30">
        <f>SLN($C$7,$E$7,$D$7)*C12</f>
        <v>760000</v>
      </c>
      <c r="D15" s="30">
        <f>SLN($C$7,$E$7,$D$7)*D12</f>
        <v>760000</v>
      </c>
      <c r="E15" s="30">
        <f>SLN($C$7,$E$7,$D$7)*E12</f>
        <v>760000</v>
      </c>
      <c r="F15" s="30">
        <f>SLN($C$7,$E$7,$D$7)*F12</f>
        <v>760000</v>
      </c>
      <c r="G15" s="30">
        <f>SLN($C$7,$E$7,$D$7)*G12</f>
        <v>760000</v>
      </c>
      <c r="H15" s="30"/>
      <c r="I15" s="122">
        <f>SUM(C15:G15)</f>
        <v>3800000</v>
      </c>
    </row>
    <row r="16" spans="2:9" x14ac:dyDescent="0.3">
      <c r="B16" s="67" t="s">
        <v>121</v>
      </c>
      <c r="C16" s="78">
        <f>SLN($C$8,$E$8,$D$8)*C12</f>
        <v>27500</v>
      </c>
      <c r="D16" s="78">
        <f>SLN($C$8,$E$8,$D$8)*D12</f>
        <v>27500</v>
      </c>
      <c r="E16" s="78">
        <f>SLN($C$8,$E$8,$D$8)*E12</f>
        <v>27500</v>
      </c>
      <c r="F16" s="78">
        <f>SLN($C$8,$E$8,$D$8)*F12</f>
        <v>27500</v>
      </c>
      <c r="G16" s="78"/>
      <c r="H16" s="78"/>
      <c r="I16" s="122">
        <f>SUM(C16:G16)</f>
        <v>110000</v>
      </c>
    </row>
    <row r="17" spans="2:9" x14ac:dyDescent="0.3">
      <c r="B17" s="212"/>
      <c r="C17" s="213"/>
      <c r="D17" s="213"/>
      <c r="E17" s="213"/>
      <c r="F17" s="213"/>
      <c r="G17" s="213"/>
      <c r="H17" s="213"/>
      <c r="I17" s="122"/>
    </row>
    <row r="18" spans="2:9" x14ac:dyDescent="0.3">
      <c r="I18" s="79"/>
    </row>
    <row r="19" spans="2:9" x14ac:dyDescent="0.3">
      <c r="I19" s="79"/>
    </row>
    <row r="20" spans="2:9" x14ac:dyDescent="0.3">
      <c r="B20" s="192" t="s">
        <v>124</v>
      </c>
      <c r="C20" s="192"/>
      <c r="I20" s="79"/>
    </row>
    <row r="21" spans="2:9" x14ac:dyDescent="0.3">
      <c r="C21" cm="1">
        <f t="array" ref="C21:H21">_xlfn.SEQUENCE(,D6,1)</f>
        <v>1</v>
      </c>
      <c r="D21">
        <v>2</v>
      </c>
      <c r="E21">
        <v>3</v>
      </c>
      <c r="F21">
        <v>4</v>
      </c>
      <c r="G21">
        <v>5</v>
      </c>
      <c r="H21">
        <v>6</v>
      </c>
      <c r="I21" s="79"/>
    </row>
    <row r="22" spans="2:9" x14ac:dyDescent="0.3">
      <c r="B22" s="105" t="s">
        <v>123</v>
      </c>
      <c r="C22" s="105">
        <v>2026</v>
      </c>
      <c r="D22" s="105">
        <f>C22+1</f>
        <v>2027</v>
      </c>
      <c r="E22" s="105">
        <f>D22+1</f>
        <v>2028</v>
      </c>
      <c r="F22" s="105">
        <f>E22+1</f>
        <v>2029</v>
      </c>
      <c r="G22" s="105">
        <f>F22+1</f>
        <v>2030</v>
      </c>
      <c r="H22" s="105">
        <f>G22+1</f>
        <v>2031</v>
      </c>
      <c r="I22" s="79"/>
    </row>
    <row r="23" spans="2:9" x14ac:dyDescent="0.3">
      <c r="B23" s="27" t="s">
        <v>119</v>
      </c>
      <c r="C23" s="30" cm="1">
        <f t="array" ref="C23:H23">DB(C6,E6,D6,_xlfn.ANCHORARRAY(C21))</f>
        <v>1037500</v>
      </c>
      <c r="D23" s="30">
        <v>606937.5</v>
      </c>
      <c r="E23" s="30">
        <v>355058.4375</v>
      </c>
      <c r="F23" s="30">
        <v>207709.18593749998</v>
      </c>
      <c r="G23" s="30">
        <v>121509.8737734375</v>
      </c>
      <c r="H23" s="30">
        <v>71083.276157460932</v>
      </c>
      <c r="I23" s="122">
        <f>SUM(C23:H23)</f>
        <v>2399798.2733683987</v>
      </c>
    </row>
    <row r="24" spans="2:9" x14ac:dyDescent="0.3">
      <c r="B24" s="27" t="s">
        <v>120</v>
      </c>
      <c r="C24" s="30">
        <f>DB($C$7,$E$7,$D$7,C21)</f>
        <v>1804000</v>
      </c>
      <c r="D24" s="30">
        <f>DB($C$7,$E$7,$D$7,D21)</f>
        <v>990396</v>
      </c>
      <c r="E24" s="30">
        <f>DB($C$7,$E$7,$D$7,E21)</f>
        <v>543727.40399999998</v>
      </c>
      <c r="F24" s="30">
        <f>DB($C$7,$E$7,$D$7,F21)</f>
        <v>298506.34479599999</v>
      </c>
      <c r="G24" s="30">
        <f>DB($C$7,$E$7,$D$7,G21)</f>
        <v>163879.98329300401</v>
      </c>
      <c r="H24" s="30"/>
      <c r="I24" s="122">
        <f>SUM(C24:G24)</f>
        <v>3800509.732089004</v>
      </c>
    </row>
    <row r="25" spans="2:9" x14ac:dyDescent="0.3">
      <c r="B25" s="67" t="s">
        <v>121</v>
      </c>
      <c r="C25" s="78">
        <f>DB($C$8,$E$8,$D$8,C21)</f>
        <v>55560</v>
      </c>
      <c r="D25" s="78">
        <f>DB($C$8,$E$8,$D$8,D21)</f>
        <v>29835.72</v>
      </c>
      <c r="E25" s="78">
        <f>DB($C$8,$E$8,$D$8,E21)</f>
        <v>16021.781640000001</v>
      </c>
      <c r="F25" s="78">
        <f>DB($C$8,$E$8,$D$8,F21)</f>
        <v>8603.6967406799995</v>
      </c>
      <c r="G25" s="78"/>
      <c r="H25" s="78"/>
      <c r="I25" s="122">
        <f>SUM(C25:G25)</f>
        <v>110021.19838068</v>
      </c>
    </row>
    <row r="26" spans="2:9" x14ac:dyDescent="0.3">
      <c r="B26" s="212"/>
      <c r="C26" s="213"/>
      <c r="D26" s="213"/>
      <c r="E26" s="213"/>
      <c r="F26" s="213"/>
      <c r="G26" s="213"/>
      <c r="H26" s="213"/>
      <c r="I26" s="122"/>
    </row>
    <row r="27" spans="2:9" x14ac:dyDescent="0.3">
      <c r="I27" s="79"/>
    </row>
    <row r="28" spans="2:9" x14ac:dyDescent="0.3">
      <c r="B28" s="192" t="s">
        <v>126</v>
      </c>
      <c r="C28" s="192"/>
      <c r="I28" s="79"/>
    </row>
    <row r="29" spans="2:9" x14ac:dyDescent="0.3">
      <c r="C29" cm="1">
        <f t="array" ref="C29:H29">_xlfn.SEQUENCE(,D6,1)</f>
        <v>1</v>
      </c>
      <c r="D29">
        <v>2</v>
      </c>
      <c r="E29">
        <v>3</v>
      </c>
      <c r="F29">
        <v>4</v>
      </c>
      <c r="G29">
        <v>5</v>
      </c>
      <c r="H29">
        <v>6</v>
      </c>
      <c r="I29" s="79"/>
    </row>
    <row r="30" spans="2:9" x14ac:dyDescent="0.3">
      <c r="B30" s="105" t="s">
        <v>123</v>
      </c>
      <c r="C30" s="105">
        <v>2026</v>
      </c>
      <c r="D30" s="105">
        <f>C30+1</f>
        <v>2027</v>
      </c>
      <c r="E30" s="105">
        <f>D30+1</f>
        <v>2028</v>
      </c>
      <c r="F30" s="105">
        <f>E30+1</f>
        <v>2029</v>
      </c>
      <c r="G30" s="105">
        <f>F30+1</f>
        <v>2030</v>
      </c>
      <c r="H30" s="105">
        <f>G30+1</f>
        <v>2031</v>
      </c>
      <c r="I30" s="79"/>
    </row>
    <row r="31" spans="2:9" x14ac:dyDescent="0.3">
      <c r="B31" s="27" t="s">
        <v>119</v>
      </c>
      <c r="C31" s="30" cm="1">
        <f t="array" ref="C31:H31">DDB(C6,E6,D6,_xlfn.ANCHORARRAY(C29))</f>
        <v>833333.33333333326</v>
      </c>
      <c r="D31" s="30">
        <v>555555.5555555555</v>
      </c>
      <c r="E31" s="30">
        <v>370370.37037037039</v>
      </c>
      <c r="F31" s="30">
        <v>246913.58024691365</v>
      </c>
      <c r="G31" s="30">
        <v>164609.05349794246</v>
      </c>
      <c r="H31" s="30">
        <v>109739.36899862831</v>
      </c>
      <c r="I31" s="122">
        <f>SUM(C31:H31)</f>
        <v>2280521.2620027433</v>
      </c>
    </row>
    <row r="32" spans="2:9" x14ac:dyDescent="0.3">
      <c r="B32" s="27" t="s">
        <v>120</v>
      </c>
      <c r="C32" s="30">
        <f>DDB($C$7,$E$7,$D$7,C29)</f>
        <v>1600000</v>
      </c>
      <c r="D32" s="30">
        <f>DDB($C$7,$E$7,$D$7,D29)</f>
        <v>960000</v>
      </c>
      <c r="E32" s="30">
        <f>DDB($C$7,$E$7,$D$7,E29)</f>
        <v>576000</v>
      </c>
      <c r="F32" s="30">
        <f>DDB($C$7,$E$7,$D$7,F29)</f>
        <v>345600</v>
      </c>
      <c r="G32" s="30">
        <f>DDB($C$7,$E$7,$D$7,G29)</f>
        <v>207360</v>
      </c>
      <c r="H32" s="30"/>
      <c r="I32" s="122">
        <f>SUM(C32:G32)</f>
        <v>3688960</v>
      </c>
    </row>
    <row r="33" spans="2:9" x14ac:dyDescent="0.3">
      <c r="B33" s="67" t="s">
        <v>121</v>
      </c>
      <c r="C33" s="78">
        <f>DDB($C$8,$E$8,$D$8,C29)</f>
        <v>60000</v>
      </c>
      <c r="D33" s="78">
        <f>DDB($C$8,$E$8,$D$8,D29)</f>
        <v>30000</v>
      </c>
      <c r="E33" s="78">
        <f>DDB($C$8,$E$8,$D$8,E29)</f>
        <v>15000</v>
      </c>
      <c r="F33" s="78">
        <f>DDB($C$8,$E$8,$D$8,F29)</f>
        <v>5000</v>
      </c>
      <c r="G33" s="78"/>
      <c r="H33" s="78"/>
      <c r="I33" s="122">
        <f>SUM(C33:G33)</f>
        <v>110000</v>
      </c>
    </row>
    <row r="36" spans="2:9" x14ac:dyDescent="0.3">
      <c r="B36" s="192" t="s">
        <v>127</v>
      </c>
      <c r="C36" s="192"/>
    </row>
    <row r="37" spans="2:9" x14ac:dyDescent="0.3">
      <c r="C37" cm="1">
        <f t="array" ref="C37:H37">_xlfn.SEQUENCE(,D6,1)</f>
        <v>1</v>
      </c>
      <c r="D37">
        <v>2</v>
      </c>
      <c r="E37">
        <v>3</v>
      </c>
      <c r="F37">
        <v>4</v>
      </c>
      <c r="G37">
        <v>5</v>
      </c>
      <c r="H37">
        <v>6</v>
      </c>
    </row>
    <row r="38" spans="2:9" x14ac:dyDescent="0.3">
      <c r="B38" s="105" t="s">
        <v>123</v>
      </c>
      <c r="C38" s="105">
        <v>2026</v>
      </c>
      <c r="D38" s="105">
        <f>C38+1</f>
        <v>2027</v>
      </c>
      <c r="E38" s="105">
        <f>D38+1</f>
        <v>2028</v>
      </c>
      <c r="F38" s="105">
        <f>E38+1</f>
        <v>2029</v>
      </c>
      <c r="G38" s="105">
        <f>F38+1</f>
        <v>2030</v>
      </c>
      <c r="H38" s="105">
        <f>G38+1</f>
        <v>2031</v>
      </c>
    </row>
    <row r="39" spans="2:9" x14ac:dyDescent="0.3">
      <c r="B39" s="27" t="s">
        <v>119</v>
      </c>
      <c r="C39" s="30" cm="1">
        <f t="array" ref="C39:H39">SYD(C6,E6,D6,_xlfn.ANCHORARRAY(C37))</f>
        <v>685714.28571428568</v>
      </c>
      <c r="D39" s="30">
        <v>571428.57142857148</v>
      </c>
      <c r="E39" s="30">
        <v>457142.85714285716</v>
      </c>
      <c r="F39" s="30">
        <v>342857.14285714284</v>
      </c>
      <c r="G39" s="30">
        <v>228571.42857142858</v>
      </c>
      <c r="H39" s="30">
        <v>114285.71428571429</v>
      </c>
      <c r="I39" s="122">
        <f>SUM(C39:H39)</f>
        <v>2400000</v>
      </c>
    </row>
    <row r="40" spans="2:9" x14ac:dyDescent="0.3">
      <c r="B40" s="27" t="s">
        <v>120</v>
      </c>
      <c r="C40" s="30">
        <f>SYD($C$7,$E$7,$D$7,C37)</f>
        <v>1266666.6666666667</v>
      </c>
      <c r="D40" s="30">
        <f>SYD($C$7,$E$7,$D$7,D37)</f>
        <v>1013333.3333333334</v>
      </c>
      <c r="E40" s="30">
        <f>SYD($C$7,$E$7,$D$7,E37)</f>
        <v>760000</v>
      </c>
      <c r="F40" s="30">
        <f>SYD($C$7,$E$7,$D$7,F37)</f>
        <v>506666.66666666669</v>
      </c>
      <c r="G40" s="30">
        <f>SYD($C$7,$E$7,$D$7,G37)</f>
        <v>253333.33333333334</v>
      </c>
      <c r="H40" s="30"/>
      <c r="I40" s="122">
        <f>SUM(C40:G40)</f>
        <v>3800000</v>
      </c>
    </row>
    <row r="41" spans="2:9" x14ac:dyDescent="0.3">
      <c r="B41" s="67" t="s">
        <v>121</v>
      </c>
      <c r="C41" s="78">
        <f>SYD($C$8,$E$8,$D$8,C37)</f>
        <v>44000</v>
      </c>
      <c r="D41" s="78">
        <f>SYD($C$8,$E$8,$D$8,D37)</f>
        <v>33000</v>
      </c>
      <c r="E41" s="78">
        <f>SYD($C$8,$E$8,$D$8,E37)</f>
        <v>22000</v>
      </c>
      <c r="F41" s="78">
        <f>SYD($C$8,$E$8,$D$8,F37)</f>
        <v>11000</v>
      </c>
      <c r="G41" s="78"/>
      <c r="H41" s="78"/>
      <c r="I41" s="122">
        <f>SUM(C41:G41)</f>
        <v>110000</v>
      </c>
    </row>
    <row r="45" spans="2:9" x14ac:dyDescent="0.3">
      <c r="B45" s="192" t="s">
        <v>128</v>
      </c>
      <c r="C45" s="192"/>
      <c r="D45" s="5" t="s">
        <v>149</v>
      </c>
      <c r="E45" s="88">
        <v>2</v>
      </c>
    </row>
    <row r="46" spans="2:9" x14ac:dyDescent="0.3">
      <c r="B46" cm="1">
        <f t="array" ref="B46:H46">_xlfn.SEQUENCE(,7,0,1)</f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</row>
    <row r="47" spans="2:9" x14ac:dyDescent="0.3">
      <c r="B47" s="105" t="s">
        <v>123</v>
      </c>
      <c r="C47" s="105">
        <v>2026</v>
      </c>
      <c r="D47" s="105">
        <f>C47+1</f>
        <v>2027</v>
      </c>
      <c r="E47" s="105">
        <f>D47+1</f>
        <v>2028</v>
      </c>
      <c r="F47" s="105">
        <f>E47+1</f>
        <v>2029</v>
      </c>
      <c r="G47" s="105">
        <f>F47+1</f>
        <v>2030</v>
      </c>
      <c r="H47" s="105">
        <f>G47+1</f>
        <v>2031</v>
      </c>
    </row>
    <row r="48" spans="2:9" x14ac:dyDescent="0.3">
      <c r="B48" s="27" t="s">
        <v>119</v>
      </c>
      <c r="C48" s="30">
        <f>VDB($C$6,$E$6,$D$6,B46,C46,$E$45,TRUE)</f>
        <v>833333.33333333326</v>
      </c>
      <c r="D48" s="30">
        <f>VDB($C$6,$E$6,$D$6,C46,D46,$E$45,TRUE)</f>
        <v>555555.5555555555</v>
      </c>
      <c r="E48" s="30">
        <f>VDB($C$6,$E$6,$D$6,D46,E46,$E$45,TRUE)</f>
        <v>370370.37037037039</v>
      </c>
      <c r="F48" s="30">
        <f>VDB($C$6,$E$6,$D$6,E46,F46,$E$45,TRUE)</f>
        <v>246913.58024691365</v>
      </c>
      <c r="G48" s="30">
        <f>VDB($C$6,$E$6,$D$6,F46,G46,$E$45,TRUE)</f>
        <v>164609.05349794246</v>
      </c>
      <c r="H48" s="30">
        <f>VDB($C$6,$E$6,$D$6,G46,H46,$E$45,TRUE)</f>
        <v>109739.36899862831</v>
      </c>
      <c r="I48" s="122">
        <f>SUM(C48:H48)</f>
        <v>2280521.2620027433</v>
      </c>
    </row>
    <row r="49" spans="2:9" x14ac:dyDescent="0.3">
      <c r="B49" s="27" t="s">
        <v>120</v>
      </c>
      <c r="C49" s="30">
        <f>VDB($C$7,$E$7,$D$7,B46,C46,$E$45,FALSE)</f>
        <v>1600000</v>
      </c>
      <c r="D49" s="30">
        <f>VDB($C$7,$E$7,$D$7,C46,D46,$E$45,FALSE)</f>
        <v>960000</v>
      </c>
      <c r="E49" s="30">
        <f>VDB($C$7,$E$7,$D$7,D46,E46,$E$45,FALSE)</f>
        <v>576000</v>
      </c>
      <c r="F49" s="30">
        <f>VDB($C$7,$E$7,$D$7,E46,F46,$E$45,FALSE)</f>
        <v>345600</v>
      </c>
      <c r="G49" s="30">
        <f>VDB($C$7,$E$7,$D$7,F46,G46,$E$45,FALSE)</f>
        <v>318400</v>
      </c>
      <c r="H49" s="30"/>
      <c r="I49" s="122">
        <f>SUM(C49:G49)</f>
        <v>3800000</v>
      </c>
    </row>
    <row r="50" spans="2:9" x14ac:dyDescent="0.3">
      <c r="B50" s="67" t="s">
        <v>121</v>
      </c>
      <c r="C50" s="78">
        <f>VDB($C$8,$E$8,$D$8,B46,C46,$E$45,TRUE)</f>
        <v>60000</v>
      </c>
      <c r="D50" s="78">
        <f>VDB($C$8,$E$8,$D$8,C46,D46,$E$45,TRUE)</f>
        <v>30000</v>
      </c>
      <c r="E50" s="78">
        <f>VDB($C$8,$E$8,$D$8,D46,E46,$E$45,TRUE)</f>
        <v>15000</v>
      </c>
      <c r="F50" s="78">
        <f>VDB($C$8,$E$8,$D$8,E46,F46,$E$45,TRUE)</f>
        <v>5000</v>
      </c>
      <c r="G50" s="78"/>
      <c r="H50" s="78"/>
      <c r="I50" s="122">
        <f>SUM(C50:G50)</f>
        <v>110000</v>
      </c>
    </row>
  </sheetData>
  <mergeCells count="6">
    <mergeCell ref="B45:C45"/>
    <mergeCell ref="B11:C11"/>
    <mergeCell ref="B28:C28"/>
    <mergeCell ref="B3:H3"/>
    <mergeCell ref="B20:C20"/>
    <mergeCell ref="B36:C36"/>
  </mergeCells>
  <conditionalFormatting sqref="B13:H17">
    <cfRule type="containsBlanks" dxfId="5" priority="6">
      <formula>LEN(TRIM(B13))=0</formula>
    </cfRule>
  </conditionalFormatting>
  <conditionalFormatting sqref="B22:H26 B28">
    <cfRule type="containsBlanks" dxfId="4" priority="5">
      <formula>LEN(TRIM(B22))=0</formula>
    </cfRule>
  </conditionalFormatting>
  <conditionalFormatting sqref="B30:H33">
    <cfRule type="containsBlanks" dxfId="3" priority="4">
      <formula>LEN(TRIM(B30))=0</formula>
    </cfRule>
  </conditionalFormatting>
  <conditionalFormatting sqref="B38:H41 B45">
    <cfRule type="containsBlanks" dxfId="2" priority="3">
      <formula>LEN(TRIM(B38))=0</formula>
    </cfRule>
  </conditionalFormatting>
  <conditionalFormatting sqref="B47:H50">
    <cfRule type="containsBlanks" dxfId="1" priority="2">
      <formula>LEN(TRIM(B47))=0</formula>
    </cfRule>
  </conditionalFormatting>
  <conditionalFormatting sqref="C14:H17">
    <cfRule type="cellIs" dxfId="0" priority="1" operator="equal">
      <formula>393750</formula>
    </cfRule>
  </conditionalFormatting>
  <pageMargins left="0.7" right="0.7" top="0.75" bottom="0.75" header="0.3" footer="0.3"/>
  <pageSetup paperSize="12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181B-847E-4291-A55F-74592E1913AD}">
  <dimension ref="B2:H17"/>
  <sheetViews>
    <sheetView showGridLines="0" workbookViewId="0">
      <selection activeCell="E8" sqref="E8"/>
    </sheetView>
  </sheetViews>
  <sheetFormatPr defaultRowHeight="14.4" x14ac:dyDescent="0.3"/>
  <cols>
    <col min="1" max="1" width="2.33203125" customWidth="1"/>
    <col min="2" max="7" width="25.77734375" customWidth="1"/>
  </cols>
  <sheetData>
    <row r="2" spans="2:8" ht="15" thickBot="1" x14ac:dyDescent="0.35"/>
    <row r="3" spans="2:8" ht="21.6" thickBot="1" x14ac:dyDescent="0.45">
      <c r="B3" s="188" t="s">
        <v>159</v>
      </c>
      <c r="C3" s="189"/>
      <c r="D3" s="189"/>
      <c r="E3" s="189"/>
      <c r="F3" s="189"/>
      <c r="G3" s="189"/>
      <c r="H3" s="224"/>
    </row>
    <row r="4" spans="2:8" ht="15" thickBot="1" x14ac:dyDescent="0.35"/>
    <row r="5" spans="2:8" x14ac:dyDescent="0.3">
      <c r="B5" s="106" t="s">
        <v>91</v>
      </c>
      <c r="C5" s="107" t="s">
        <v>153</v>
      </c>
    </row>
    <row r="6" spans="2:8" x14ac:dyDescent="0.3">
      <c r="B6" s="27" t="s">
        <v>37</v>
      </c>
      <c r="C6" s="89">
        <v>1000000000</v>
      </c>
    </row>
    <row r="7" spans="2:8" x14ac:dyDescent="0.3">
      <c r="B7" s="27" t="s">
        <v>71</v>
      </c>
      <c r="C7" s="90">
        <v>0.08</v>
      </c>
    </row>
    <row r="8" spans="2:8" x14ac:dyDescent="0.3">
      <c r="B8" s="27" t="s">
        <v>150</v>
      </c>
      <c r="C8" s="84">
        <v>5</v>
      </c>
    </row>
    <row r="9" spans="2:8" x14ac:dyDescent="0.3">
      <c r="B9" s="67" t="s">
        <v>151</v>
      </c>
      <c r="C9" s="68" t="s">
        <v>152</v>
      </c>
    </row>
    <row r="11" spans="2:8" ht="15" thickBot="1" x14ac:dyDescent="0.35">
      <c r="C11" cm="1">
        <f t="array" ref="C11:G11">_xlfn.SEQUENCE(,C8,1,0)</f>
        <v>1</v>
      </c>
      <c r="D11">
        <v>1</v>
      </c>
      <c r="E11">
        <v>1</v>
      </c>
      <c r="F11">
        <v>1</v>
      </c>
      <c r="G11">
        <v>1</v>
      </c>
    </row>
    <row r="12" spans="2:8" x14ac:dyDescent="0.3">
      <c r="B12" s="106" t="s">
        <v>54</v>
      </c>
      <c r="C12" s="107" t="s">
        <v>154</v>
      </c>
      <c r="D12" s="107" t="s">
        <v>155</v>
      </c>
      <c r="E12" s="107" t="s">
        <v>156</v>
      </c>
      <c r="F12" s="107" t="s">
        <v>157</v>
      </c>
      <c r="G12" s="107" t="s">
        <v>158</v>
      </c>
    </row>
    <row r="13" spans="2:8" x14ac:dyDescent="0.3">
      <c r="B13" s="27" cm="1">
        <f t="array" ref="B13:B17">_xlfn.SEQUENCE(C8,,1)</f>
        <v>1</v>
      </c>
      <c r="C13" s="28">
        <f>C6</f>
        <v>1000000000</v>
      </c>
      <c r="D13" s="28" cm="1">
        <f t="array" ref="D13:D17">IPMT(C7,_xlfn.ANCHORARRAY(B13),C8,C6)*-D11</f>
        <v>80000000</v>
      </c>
      <c r="E13" s="28" cm="1">
        <f t="array" ref="E13:E17">PPMT(C7,_xlfn.ANCHORARRAY(B13),C8,C6)*-E11</f>
        <v>170456454.5668366</v>
      </c>
      <c r="F13" s="28">
        <f>PMT($C$7,$C$8,$C$6)*-1</f>
        <v>250456454.5668366</v>
      </c>
      <c r="G13" s="28">
        <f>C13-E13</f>
        <v>829543545.4331634</v>
      </c>
    </row>
    <row r="14" spans="2:8" x14ac:dyDescent="0.3">
      <c r="B14" s="27">
        <v>2</v>
      </c>
      <c r="C14" s="28">
        <f>G13</f>
        <v>829543545.4331634</v>
      </c>
      <c r="D14" s="28">
        <v>66363483.634653062</v>
      </c>
      <c r="E14" s="28">
        <v>184092970.9321835</v>
      </c>
      <c r="F14" s="28">
        <f t="shared" ref="F14:F17" si="0">PMT($C$7,$C$8,$C$6)*-1</f>
        <v>250456454.5668366</v>
      </c>
      <c r="G14" s="28">
        <f>C14-E14</f>
        <v>645450574.5009799</v>
      </c>
    </row>
    <row r="15" spans="2:8" x14ac:dyDescent="0.3">
      <c r="B15" s="27">
        <v>3</v>
      </c>
      <c r="C15" s="28">
        <f>G14</f>
        <v>645450574.5009799</v>
      </c>
      <c r="D15" s="28">
        <v>51636045.960078381</v>
      </c>
      <c r="E15" s="28">
        <v>198820408.60675821</v>
      </c>
      <c r="F15" s="28">
        <f t="shared" si="0"/>
        <v>250456454.5668366</v>
      </c>
      <c r="G15" s="28">
        <f>C15-E15</f>
        <v>446630165.89422166</v>
      </c>
    </row>
    <row r="16" spans="2:8" x14ac:dyDescent="0.3">
      <c r="B16" s="27">
        <v>4</v>
      </c>
      <c r="C16" s="28">
        <f>G15</f>
        <v>446630165.89422166</v>
      </c>
      <c r="D16" s="28">
        <v>35730413.271537729</v>
      </c>
      <c r="E16" s="28">
        <v>214726041.29529884</v>
      </c>
      <c r="F16" s="28">
        <f t="shared" si="0"/>
        <v>250456454.5668366</v>
      </c>
      <c r="G16" s="28">
        <f>C16-E16</f>
        <v>231904124.59892282</v>
      </c>
    </row>
    <row r="17" spans="2:7" x14ac:dyDescent="0.3">
      <c r="B17" s="67">
        <v>5</v>
      </c>
      <c r="C17" s="92">
        <f>G16</f>
        <v>231904124.59892282</v>
      </c>
      <c r="D17" s="92">
        <v>18552329.967913821</v>
      </c>
      <c r="E17" s="92">
        <v>231904124.59892276</v>
      </c>
      <c r="F17" s="28">
        <f t="shared" si="0"/>
        <v>250456454.5668366</v>
      </c>
      <c r="G17" s="119">
        <f>C17-E17</f>
        <v>0</v>
      </c>
    </row>
  </sheetData>
  <mergeCells count="1">
    <mergeCell ref="B3:G3"/>
  </mergeCells>
  <pageMargins left="0.7" right="0.7" top="0.75" bottom="0.75" header="0.3" footer="0.3"/>
  <pageSetup paperSize="1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6DE5-0188-4E11-815B-63BF76A5AF0D}">
  <dimension ref="B2:H73"/>
  <sheetViews>
    <sheetView showGridLines="0" workbookViewId="0">
      <selection activeCell="C53" sqref="C53"/>
    </sheetView>
  </sheetViews>
  <sheetFormatPr defaultRowHeight="14.4" x14ac:dyDescent="0.3"/>
  <cols>
    <col min="1" max="1" width="3.6640625" customWidth="1"/>
    <col min="2" max="8" width="15.77734375" customWidth="1"/>
  </cols>
  <sheetData>
    <row r="2" spans="2:8" ht="15" thickBot="1" x14ac:dyDescent="0.35"/>
    <row r="3" spans="2:8" ht="21.6" thickBot="1" x14ac:dyDescent="0.45">
      <c r="B3" s="188" t="s">
        <v>165</v>
      </c>
      <c r="C3" s="189"/>
      <c r="D3" s="189"/>
      <c r="E3" s="189"/>
      <c r="F3" s="189"/>
      <c r="G3" s="189"/>
      <c r="H3" s="190"/>
    </row>
    <row r="5" spans="2:8" ht="15" thickBot="1" x14ac:dyDescent="0.35"/>
    <row r="6" spans="2:8" x14ac:dyDescent="0.3">
      <c r="B6" s="108" t="s">
        <v>91</v>
      </c>
      <c r="C6" s="109" t="s">
        <v>153</v>
      </c>
      <c r="E6" s="110" t="s">
        <v>225</v>
      </c>
      <c r="F6" s="113"/>
    </row>
    <row r="7" spans="2:8" ht="28.8" x14ac:dyDescent="0.3">
      <c r="B7" s="9" t="s">
        <v>160</v>
      </c>
      <c r="C7" s="83">
        <v>250</v>
      </c>
      <c r="E7" s="113" t="s">
        <v>21</v>
      </c>
      <c r="F7" s="130">
        <v>0.1</v>
      </c>
    </row>
    <row r="8" spans="2:8" ht="28.8" x14ac:dyDescent="0.3">
      <c r="B8" s="9" t="s">
        <v>161</v>
      </c>
      <c r="C8" s="83">
        <v>750</v>
      </c>
      <c r="E8" s="113" t="s">
        <v>190</v>
      </c>
      <c r="F8" s="130">
        <v>7.0000000000000007E-2</v>
      </c>
    </row>
    <row r="9" spans="2:8" x14ac:dyDescent="0.3">
      <c r="B9" s="9" t="s">
        <v>162</v>
      </c>
      <c r="C9" s="34">
        <v>0.08</v>
      </c>
      <c r="E9" s="113" t="s">
        <v>192</v>
      </c>
      <c r="F9" s="130">
        <v>0.03</v>
      </c>
    </row>
    <row r="10" spans="2:8" x14ac:dyDescent="0.3">
      <c r="B10" s="9" t="s">
        <v>163</v>
      </c>
      <c r="C10" s="34">
        <v>0.15</v>
      </c>
    </row>
    <row r="11" spans="2:8" ht="28.8" x14ac:dyDescent="0.3">
      <c r="B11" s="21" t="s">
        <v>164</v>
      </c>
      <c r="C11" s="38">
        <v>0.25</v>
      </c>
    </row>
    <row r="14" spans="2:8" ht="15" thickBot="1" x14ac:dyDescent="0.35">
      <c r="B14" s="191" t="s">
        <v>162</v>
      </c>
      <c r="C14" s="191"/>
      <c r="E14" s="191" t="s">
        <v>176</v>
      </c>
      <c r="F14" s="191"/>
      <c r="G14" s="93"/>
    </row>
    <row r="16" spans="2:8" x14ac:dyDescent="0.3">
      <c r="B16" t="s">
        <v>167</v>
      </c>
      <c r="C16" s="12">
        <v>0.08</v>
      </c>
      <c r="E16" t="s">
        <v>174</v>
      </c>
      <c r="F16" s="12">
        <f>C27</f>
        <v>0.25</v>
      </c>
    </row>
    <row r="17" spans="2:8" x14ac:dyDescent="0.3">
      <c r="B17" t="s">
        <v>168</v>
      </c>
      <c r="C17" s="12">
        <f>C11</f>
        <v>0.25</v>
      </c>
      <c r="E17" t="s">
        <v>171</v>
      </c>
      <c r="F17" s="12">
        <f>C19</f>
        <v>0.06</v>
      </c>
    </row>
    <row r="18" spans="2:8" x14ac:dyDescent="0.3">
      <c r="E18" t="s">
        <v>175</v>
      </c>
      <c r="F18" s="12">
        <f>C28</f>
        <v>0.75</v>
      </c>
    </row>
    <row r="19" spans="2:8" ht="15" thickBot="1" x14ac:dyDescent="0.35">
      <c r="B19" s="110" t="s">
        <v>169</v>
      </c>
      <c r="C19" s="111">
        <f>C16*(1-C17)</f>
        <v>0.06</v>
      </c>
      <c r="E19" t="s">
        <v>172</v>
      </c>
      <c r="F19" s="12">
        <v>0.15</v>
      </c>
    </row>
    <row r="20" spans="2:8" x14ac:dyDescent="0.3">
      <c r="E20" s="112" t="s">
        <v>166</v>
      </c>
      <c r="F20" s="183">
        <f>(F16*F17)+(F18*F19)</f>
        <v>0.1275</v>
      </c>
    </row>
    <row r="22" spans="2:8" ht="15" thickBot="1" x14ac:dyDescent="0.35">
      <c r="B22" s="184" t="s">
        <v>170</v>
      </c>
      <c r="C22" s="184"/>
    </row>
    <row r="23" spans="2:8" x14ac:dyDescent="0.3">
      <c r="B23" t="s">
        <v>171</v>
      </c>
      <c r="C23" s="79">
        <f>C7</f>
        <v>250</v>
      </c>
    </row>
    <row r="24" spans="2:8" x14ac:dyDescent="0.3">
      <c r="B24" t="s">
        <v>172</v>
      </c>
      <c r="C24" s="79">
        <f>C8</f>
        <v>750</v>
      </c>
    </row>
    <row r="25" spans="2:8" x14ac:dyDescent="0.3">
      <c r="B25" t="s">
        <v>173</v>
      </c>
      <c r="C25" s="79">
        <f>SUM(C23:C24)</f>
        <v>1000</v>
      </c>
    </row>
    <row r="27" spans="2:8" x14ac:dyDescent="0.3">
      <c r="B27" s="113" t="s">
        <v>174</v>
      </c>
      <c r="C27" s="114">
        <f>C23/C25</f>
        <v>0.25</v>
      </c>
    </row>
    <row r="28" spans="2:8" x14ac:dyDescent="0.3">
      <c r="B28" s="113" t="s">
        <v>175</v>
      </c>
      <c r="C28" s="115">
        <f>C24/C25</f>
        <v>0.75</v>
      </c>
    </row>
    <row r="30" spans="2:8" x14ac:dyDescent="0.3">
      <c r="B30" s="187" t="s">
        <v>177</v>
      </c>
      <c r="C30" s="187"/>
      <c r="D30" s="187"/>
      <c r="E30" s="187"/>
      <c r="F30" s="187"/>
      <c r="G30" s="187"/>
      <c r="H30" s="187"/>
    </row>
    <row r="33" spans="2:8" ht="15" thickBot="1" x14ac:dyDescent="0.35">
      <c r="C33" cm="1">
        <f t="array" ref="C33:H33">_xlfn.SEQUENCE(,6,0,1)</f>
        <v>0</v>
      </c>
      <c r="D33">
        <v>1</v>
      </c>
      <c r="E33">
        <v>2</v>
      </c>
      <c r="F33">
        <v>3</v>
      </c>
      <c r="G33">
        <v>4</v>
      </c>
      <c r="H33">
        <v>5</v>
      </c>
    </row>
    <row r="34" spans="2:8" x14ac:dyDescent="0.3">
      <c r="B34" s="106" t="s">
        <v>189</v>
      </c>
      <c r="C34" s="128">
        <v>2026</v>
      </c>
      <c r="D34" s="129">
        <f>C34+1</f>
        <v>2027</v>
      </c>
      <c r="E34" s="129">
        <f>D34+1</f>
        <v>2028</v>
      </c>
      <c r="F34" s="129">
        <f>E34+1</f>
        <v>2029</v>
      </c>
      <c r="G34" s="129">
        <f>F34+1</f>
        <v>2030</v>
      </c>
      <c r="H34" s="129">
        <f>G34+1</f>
        <v>2031</v>
      </c>
    </row>
    <row r="35" spans="2:8" x14ac:dyDescent="0.3">
      <c r="B35" s="27" t="s">
        <v>184</v>
      </c>
      <c r="C35" s="30">
        <f>120</f>
        <v>120</v>
      </c>
      <c r="D35" s="30">
        <f>C35*(1+$F$7)</f>
        <v>132</v>
      </c>
      <c r="E35" s="30">
        <f>D35*(1+$F$7)</f>
        <v>145.20000000000002</v>
      </c>
      <c r="F35" s="30">
        <f>E35*(1+$F$7)</f>
        <v>159.72000000000003</v>
      </c>
      <c r="G35" s="30">
        <f>F35*(1+$F$7)</f>
        <v>175.69200000000004</v>
      </c>
      <c r="H35" s="30">
        <f>G35*(1+$F$7)</f>
        <v>193.26120000000006</v>
      </c>
    </row>
    <row r="36" spans="2:8" x14ac:dyDescent="0.3">
      <c r="B36" s="27" t="s">
        <v>178</v>
      </c>
      <c r="C36" s="30">
        <f>71</f>
        <v>71</v>
      </c>
      <c r="D36" s="30">
        <f>C36*(1+$F$8)</f>
        <v>75.97</v>
      </c>
      <c r="E36" s="30">
        <f>D36*(1+$F$8)</f>
        <v>81.287900000000008</v>
      </c>
      <c r="F36" s="30">
        <f>E36*(1+$F$8)</f>
        <v>86.978053000000017</v>
      </c>
      <c r="G36" s="30">
        <f>F36*(1+$F$8)</f>
        <v>93.06651671000003</v>
      </c>
      <c r="H36" s="30">
        <f>G36*(1+$F$8)</f>
        <v>99.581172879700034</v>
      </c>
    </row>
    <row r="37" spans="2:8" x14ac:dyDescent="0.3">
      <c r="B37" s="27" t="s">
        <v>179</v>
      </c>
      <c r="C37" s="30">
        <f>C35-C36</f>
        <v>49</v>
      </c>
      <c r="D37" s="30">
        <f>D35-D36</f>
        <v>56.03</v>
      </c>
      <c r="E37" s="30">
        <f>E35-E36</f>
        <v>63.912100000000009</v>
      </c>
      <c r="F37" s="30">
        <f>F35-F36</f>
        <v>72.74194700000001</v>
      </c>
      <c r="G37" s="30">
        <f>G35-G36</f>
        <v>82.625483290000005</v>
      </c>
      <c r="H37" s="30">
        <f>H35-H36</f>
        <v>93.680027120300025</v>
      </c>
    </row>
    <row r="38" spans="2:8" ht="15" thickBot="1" x14ac:dyDescent="0.35">
      <c r="B38" s="131" t="s">
        <v>180</v>
      </c>
      <c r="C38" s="145">
        <v>0.25</v>
      </c>
      <c r="D38" s="132">
        <f>C38</f>
        <v>0.25</v>
      </c>
      <c r="E38" s="132">
        <f>D38</f>
        <v>0.25</v>
      </c>
      <c r="F38" s="132">
        <f>E38</f>
        <v>0.25</v>
      </c>
      <c r="G38" s="132">
        <f>F38</f>
        <v>0.25</v>
      </c>
      <c r="H38" s="132">
        <f>G38</f>
        <v>0.25</v>
      </c>
    </row>
    <row r="39" spans="2:8" ht="28.8" x14ac:dyDescent="0.3">
      <c r="B39" s="135" t="s">
        <v>186</v>
      </c>
      <c r="C39" s="136">
        <f>C37*(1-C38)</f>
        <v>36.75</v>
      </c>
      <c r="D39" s="136">
        <f>D37*(1-D38)</f>
        <v>42.022500000000001</v>
      </c>
      <c r="E39" s="136">
        <f>E37*(1-E38)</f>
        <v>47.934075000000007</v>
      </c>
      <c r="F39" s="136">
        <f>F37*(1-F38)</f>
        <v>54.556460250000008</v>
      </c>
      <c r="G39" s="136">
        <f>G37*(1-G38)</f>
        <v>61.969112467500004</v>
      </c>
      <c r="H39" s="136">
        <f>H37*(1-H38)</f>
        <v>70.260020340225026</v>
      </c>
    </row>
    <row r="40" spans="2:8" x14ac:dyDescent="0.3">
      <c r="B40" s="133" t="s">
        <v>185</v>
      </c>
      <c r="C40" s="134">
        <f>6</f>
        <v>6</v>
      </c>
      <c r="D40" s="134">
        <f>C40+1</f>
        <v>7</v>
      </c>
      <c r="E40" s="134">
        <f>D40+1</f>
        <v>8</v>
      </c>
      <c r="F40" s="134">
        <f>E40+1</f>
        <v>9</v>
      </c>
      <c r="G40" s="134">
        <f>F40+1</f>
        <v>10</v>
      </c>
      <c r="H40" s="134">
        <f>G40+1</f>
        <v>11</v>
      </c>
    </row>
    <row r="41" spans="2:8" x14ac:dyDescent="0.3">
      <c r="B41" s="27" t="s">
        <v>181</v>
      </c>
      <c r="C41" s="30">
        <f>10</f>
        <v>10</v>
      </c>
      <c r="D41" s="30">
        <f>C41+1</f>
        <v>11</v>
      </c>
      <c r="E41" s="30">
        <f>D41+1</f>
        <v>12</v>
      </c>
      <c r="F41" s="30">
        <f>E41+1</f>
        <v>13</v>
      </c>
      <c r="G41" s="30">
        <f>F41+1</f>
        <v>14</v>
      </c>
      <c r="H41" s="30">
        <f>G41+1</f>
        <v>15</v>
      </c>
    </row>
    <row r="42" spans="2:8" x14ac:dyDescent="0.3">
      <c r="B42" s="27" t="s">
        <v>182</v>
      </c>
      <c r="C42" s="30">
        <v>3</v>
      </c>
      <c r="D42" s="30">
        <f>C42+2</f>
        <v>5</v>
      </c>
      <c r="E42" s="30">
        <f>D42+2</f>
        <v>7</v>
      </c>
      <c r="F42" s="30">
        <f>E42+2</f>
        <v>9</v>
      </c>
      <c r="G42" s="30">
        <f>F42+2</f>
        <v>11</v>
      </c>
      <c r="H42" s="30">
        <f>G42+2</f>
        <v>13</v>
      </c>
    </row>
    <row r="43" spans="2:8" ht="15" thickBot="1" x14ac:dyDescent="0.35">
      <c r="B43" s="131" t="s">
        <v>187</v>
      </c>
      <c r="C43" s="142"/>
      <c r="D43" s="142">
        <f>D42-C42</f>
        <v>2</v>
      </c>
      <c r="E43" s="142">
        <f>E42-D42</f>
        <v>2</v>
      </c>
      <c r="F43" s="142">
        <f>F42-E42</f>
        <v>2</v>
      </c>
      <c r="G43" s="142">
        <f>G42-F42</f>
        <v>2</v>
      </c>
      <c r="H43" s="142">
        <f>H42-G42</f>
        <v>2</v>
      </c>
    </row>
    <row r="44" spans="2:8" ht="28.8" x14ac:dyDescent="0.3">
      <c r="B44" s="143" t="s">
        <v>188</v>
      </c>
      <c r="C44" s="144">
        <f>C41+C43</f>
        <v>10</v>
      </c>
      <c r="D44" s="144">
        <f>D41+D43</f>
        <v>13</v>
      </c>
      <c r="E44" s="144">
        <f>E41+E43</f>
        <v>14</v>
      </c>
      <c r="F44" s="144">
        <f>F41+F43</f>
        <v>15</v>
      </c>
      <c r="G44" s="144">
        <f>G41+G43</f>
        <v>16</v>
      </c>
      <c r="H44" s="144">
        <f>H41+H43</f>
        <v>17</v>
      </c>
    </row>
    <row r="45" spans="2:8" ht="15" thickBot="1" x14ac:dyDescent="0.35">
      <c r="B45" s="126" t="s">
        <v>183</v>
      </c>
      <c r="C45" s="127">
        <f>C39+C40-C44</f>
        <v>32.75</v>
      </c>
      <c r="D45" s="127">
        <f>D39+D40-D44</f>
        <v>36.022500000000001</v>
      </c>
      <c r="E45" s="127">
        <f>E39+E40-E44</f>
        <v>41.934075000000007</v>
      </c>
      <c r="F45" s="127">
        <f>F39+F40-F44</f>
        <v>48.556460250000008</v>
      </c>
      <c r="G45" s="127">
        <f>G39+G40-G44</f>
        <v>55.969112467499997</v>
      </c>
      <c r="H45" s="127">
        <f>H39+H40-H44</f>
        <v>64.260020340225026</v>
      </c>
    </row>
    <row r="46" spans="2:8" ht="28.8" x14ac:dyDescent="0.3">
      <c r="B46" s="139" t="s">
        <v>113</v>
      </c>
      <c r="C46" s="140">
        <f>F20</f>
        <v>0.1275</v>
      </c>
      <c r="D46" s="141"/>
      <c r="E46" s="141"/>
      <c r="F46" s="141"/>
      <c r="G46" s="141"/>
      <c r="H46" s="141"/>
    </row>
    <row r="47" spans="2:8" ht="15" thickBot="1" x14ac:dyDescent="0.35">
      <c r="B47" s="137" t="s">
        <v>191</v>
      </c>
      <c r="C47" s="138" cm="1">
        <f t="array" ref="C47:H47">C45/(1+$C$46)^_xlfn.ANCHORARRAY(C33)</f>
        <v>32.75</v>
      </c>
      <c r="D47" s="138">
        <v>29.046563192904657</v>
      </c>
      <c r="E47" s="138">
        <v>25.761918574638276</v>
      </c>
      <c r="F47" s="138">
        <v>22.84870827018916</v>
      </c>
      <c r="G47" s="138">
        <v>20.264929729657791</v>
      </c>
      <c r="H47" s="138">
        <v>17.973330137168773</v>
      </c>
    </row>
    <row r="48" spans="2:8" x14ac:dyDescent="0.3">
      <c r="B48" s="123"/>
      <c r="C48" s="123"/>
      <c r="D48" s="123"/>
      <c r="E48" s="123"/>
      <c r="F48" s="123"/>
      <c r="G48" s="123"/>
      <c r="H48" s="123"/>
    </row>
    <row r="50" spans="2:6" ht="15" thickBot="1" x14ac:dyDescent="0.35">
      <c r="B50" s="184" t="s">
        <v>193</v>
      </c>
      <c r="C50" s="184"/>
      <c r="E50" s="184" t="s">
        <v>196</v>
      </c>
      <c r="F50" s="184"/>
    </row>
    <row r="52" spans="2:6" ht="15.6" x14ac:dyDescent="0.35">
      <c r="B52" s="148" t="s">
        <v>194</v>
      </c>
      <c r="C52" s="149">
        <f>H47*(F9+1)</f>
        <v>18.512530041283835</v>
      </c>
      <c r="E52" s="154" t="s">
        <v>191</v>
      </c>
      <c r="F52" s="155">
        <f>SUM(D47:H47)</f>
        <v>115.89544990455866</v>
      </c>
    </row>
    <row r="53" spans="2:6" x14ac:dyDescent="0.3">
      <c r="B53" s="31" t="s">
        <v>176</v>
      </c>
      <c r="C53" s="225">
        <f>F20</f>
        <v>0.1275</v>
      </c>
      <c r="E53" s="156" t="s">
        <v>195</v>
      </c>
      <c r="F53" s="157">
        <f>C57</f>
        <v>104.20256460559767</v>
      </c>
    </row>
    <row r="54" spans="2:6" ht="15" thickBot="1" x14ac:dyDescent="0.35">
      <c r="B54" s="31" t="s">
        <v>192</v>
      </c>
      <c r="C54" s="125">
        <f>F9</f>
        <v>0.03</v>
      </c>
    </row>
    <row r="55" spans="2:6" x14ac:dyDescent="0.3">
      <c r="B55" s="150" t="s">
        <v>192</v>
      </c>
      <c r="C55" s="151">
        <f>C52/(C53-C54)</f>
        <v>189.87210298752652</v>
      </c>
      <c r="E55" s="146" t="s">
        <v>197</v>
      </c>
      <c r="F55" s="147">
        <f>F52+F53</f>
        <v>220.09801451015633</v>
      </c>
    </row>
    <row r="56" spans="2:6" x14ac:dyDescent="0.3">
      <c r="B56" s="31" t="s">
        <v>54</v>
      </c>
      <c r="C56" s="31">
        <v>5</v>
      </c>
      <c r="E56" t="s">
        <v>198</v>
      </c>
      <c r="F56">
        <v>30</v>
      </c>
    </row>
    <row r="57" spans="2:6" ht="15" thickBot="1" x14ac:dyDescent="0.35">
      <c r="B57" s="152" t="s">
        <v>195</v>
      </c>
      <c r="C57" s="153">
        <f>C55/(1+C53)^C56</f>
        <v>104.20256460559767</v>
      </c>
      <c r="E57" t="s">
        <v>171</v>
      </c>
      <c r="F57">
        <v>10</v>
      </c>
    </row>
    <row r="58" spans="2:6" x14ac:dyDescent="0.3">
      <c r="E58" s="146" t="s">
        <v>199</v>
      </c>
      <c r="F58" s="147">
        <f>F55+F56-F57</f>
        <v>240.09801451015633</v>
      </c>
    </row>
    <row r="59" spans="2:6" x14ac:dyDescent="0.3">
      <c r="E59" s="158" t="s">
        <v>200</v>
      </c>
      <c r="F59" s="158">
        <v>100</v>
      </c>
    </row>
    <row r="60" spans="2:6" x14ac:dyDescent="0.3">
      <c r="E60" s="158"/>
      <c r="F60" s="158"/>
    </row>
    <row r="61" spans="2:6" ht="15" thickBot="1" x14ac:dyDescent="0.35">
      <c r="E61" s="159" t="s">
        <v>201</v>
      </c>
      <c r="F61" s="160">
        <f>F58/F59</f>
        <v>2.4009801451015633</v>
      </c>
    </row>
    <row r="66" spans="2:7" x14ac:dyDescent="0.3">
      <c r="D66" s="185" t="s">
        <v>202</v>
      </c>
      <c r="E66" s="185"/>
      <c r="F66" s="185"/>
      <c r="G66" s="185"/>
    </row>
    <row r="67" spans="2:7" ht="15" thickBot="1" x14ac:dyDescent="0.35">
      <c r="E67" s="186" t="s">
        <v>176</v>
      </c>
      <c r="F67" s="186"/>
    </row>
    <row r="68" spans="2:7" ht="15" thickTop="1" x14ac:dyDescent="0.3">
      <c r="C68" s="172">
        <f>F61</f>
        <v>2.4009801451015633</v>
      </c>
      <c r="D68" s="161">
        <v>7.0000000000000007E-2</v>
      </c>
      <c r="E68" s="162">
        <v>0.08</v>
      </c>
      <c r="F68" s="161">
        <v>0.09</v>
      </c>
      <c r="G68" s="161">
        <v>0.1</v>
      </c>
    </row>
    <row r="69" spans="2:7" x14ac:dyDescent="0.3">
      <c r="C69" s="163">
        <v>0.02</v>
      </c>
      <c r="D69" s="164">
        <f t="dataTable" ref="D69:G72" dt2D="1" dtr="1" r1="C46" r2="C54"/>
        <v>2.7706451781064745</v>
      </c>
      <c r="E69" s="165">
        <v>2.6796420144156632</v>
      </c>
      <c r="F69" s="164">
        <v>2.5931049109450237</v>
      </c>
      <c r="G69" s="164">
        <v>2.5107686806004583</v>
      </c>
    </row>
    <row r="70" spans="2:7" x14ac:dyDescent="0.3">
      <c r="C70" s="166">
        <v>0.03</v>
      </c>
      <c r="D70" s="165">
        <v>2.896576513268899</v>
      </c>
      <c r="E70" s="167">
        <v>2.7998501659308008</v>
      </c>
      <c r="F70" s="165">
        <v>2.7078991798883401</v>
      </c>
      <c r="G70" s="165">
        <v>2.6204390409716574</v>
      </c>
    </row>
    <row r="71" spans="2:7" x14ac:dyDescent="0.3">
      <c r="B71" s="171" t="s">
        <v>192</v>
      </c>
      <c r="C71" s="163">
        <v>0.04</v>
      </c>
      <c r="D71" s="164">
        <v>3.051292153611306</v>
      </c>
      <c r="E71" s="165">
        <v>2.9475344663636838</v>
      </c>
      <c r="F71" s="164">
        <v>2.8489321388758437</v>
      </c>
      <c r="G71" s="164">
        <v>2.7551769122848451</v>
      </c>
    </row>
    <row r="72" spans="2:7" ht="15" thickBot="1" x14ac:dyDescent="0.35">
      <c r="C72" s="168">
        <v>0.05</v>
      </c>
      <c r="D72" s="169">
        <v>3.2459344108162695</v>
      </c>
      <c r="E72" s="170">
        <v>3.1333308443276335</v>
      </c>
      <c r="F72" s="169">
        <v>3.0263607001827029</v>
      </c>
      <c r="G72" s="169">
        <v>2.9246858471627264</v>
      </c>
    </row>
    <row r="73" spans="2:7" ht="15" thickTop="1" x14ac:dyDescent="0.3"/>
  </sheetData>
  <mergeCells count="9">
    <mergeCell ref="D66:G66"/>
    <mergeCell ref="E67:F67"/>
    <mergeCell ref="B30:H30"/>
    <mergeCell ref="B3:H3"/>
    <mergeCell ref="B14:C14"/>
    <mergeCell ref="B22:C22"/>
    <mergeCell ref="E14:F14"/>
    <mergeCell ref="B50:C50"/>
    <mergeCell ref="E50:F50"/>
  </mergeCells>
  <pageMargins left="0.7" right="0.7" top="0.75" bottom="0.75" header="0.3" footer="0.3"/>
  <pageSetup paperSize="1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Case Study</vt:lpstr>
      <vt:lpstr>Portifolio</vt:lpstr>
      <vt:lpstr>Intro</vt:lpstr>
      <vt:lpstr>Loan Schedules</vt:lpstr>
      <vt:lpstr>Investment Decisions</vt:lpstr>
      <vt:lpstr>Dep Schedules</vt:lpstr>
      <vt:lpstr>Debt Schedules</vt:lpstr>
      <vt:lpstr>DCF</vt:lpstr>
      <vt:lpstr>'Loan Schedules'!Print_Area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Umadevi Pagadala</dc:creator>
  <cp:lastModifiedBy>Umadevi Pagadala</cp:lastModifiedBy>
  <cp:lastPrinted>2026-08-06T03:50:48Z</cp:lastPrinted>
  <dcterms:created xsi:type="dcterms:W3CDTF">2026-08-04T15:48:28Z</dcterms:created>
  <dcterms:modified xsi:type="dcterms:W3CDTF">2026-08-06T04:16:08Z</dcterms:modified>
</cp:coreProperties>
</file>